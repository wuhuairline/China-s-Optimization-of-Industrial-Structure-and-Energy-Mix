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桌面文件\BIT_管理科学与工程_博士\论文3\数据\参数相关\"/>
    </mc:Choice>
  </mc:AlternateContent>
  <xr:revisionPtr revIDLastSave="0" documentId="13_ncr:1_{391D5ABD-5886-4882-9588-208A937CEC5A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总体" sheetId="10" r:id="rId1"/>
    <sheet name="能源变化率" sheetId="7" r:id="rId2"/>
    <sheet name="各类型能源变化率" sheetId="9" r:id="rId3"/>
    <sheet name="结果" sheetId="8" r:id="rId4"/>
    <sheet name="输出" sheetId="6" r:id="rId5"/>
    <sheet name="Sheet1" sheetId="1" r:id="rId6"/>
    <sheet name="Sheet2" sheetId="2" r:id="rId7"/>
    <sheet name="Sheet3" sheetId="3" r:id="rId8"/>
    <sheet name="Sheet4" sheetId="4" r:id="rId9"/>
    <sheet name="Sheet5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6" l="1"/>
  <c r="P3" i="5"/>
  <c r="Q3" i="5"/>
  <c r="R3" i="5"/>
  <c r="S3" i="5"/>
  <c r="T3" i="5"/>
  <c r="U3" i="5"/>
  <c r="V3" i="5"/>
  <c r="W3" i="5"/>
  <c r="X3" i="5"/>
  <c r="Y3" i="5"/>
  <c r="P4" i="5"/>
  <c r="Q4" i="5"/>
  <c r="R4" i="5"/>
  <c r="S4" i="5"/>
  <c r="T4" i="5"/>
  <c r="U4" i="5"/>
  <c r="V4" i="5"/>
  <c r="W4" i="5"/>
  <c r="X4" i="5"/>
  <c r="Y4" i="5"/>
  <c r="P5" i="5"/>
  <c r="Q5" i="5"/>
  <c r="R5" i="5"/>
  <c r="S5" i="5"/>
  <c r="T5" i="5"/>
  <c r="U5" i="5"/>
  <c r="V5" i="5"/>
  <c r="W5" i="5"/>
  <c r="X5" i="5"/>
  <c r="Y5" i="5"/>
  <c r="P6" i="5"/>
  <c r="Q6" i="5"/>
  <c r="R6" i="5"/>
  <c r="S6" i="5"/>
  <c r="T6" i="5"/>
  <c r="U6" i="5"/>
  <c r="V6" i="5"/>
  <c r="W6" i="5"/>
  <c r="X6" i="5"/>
  <c r="Y6" i="5"/>
  <c r="P7" i="5"/>
  <c r="Q7" i="5"/>
  <c r="R7" i="5"/>
  <c r="S7" i="5"/>
  <c r="T7" i="5"/>
  <c r="U7" i="5"/>
  <c r="V7" i="5"/>
  <c r="W7" i="5"/>
  <c r="X7" i="5"/>
  <c r="Y7" i="5"/>
  <c r="P8" i="5"/>
  <c r="Q8" i="5"/>
  <c r="R8" i="5"/>
  <c r="S8" i="5"/>
  <c r="T8" i="5"/>
  <c r="U8" i="5"/>
  <c r="V8" i="5"/>
  <c r="W8" i="5"/>
  <c r="X8" i="5"/>
  <c r="Y8" i="5"/>
  <c r="P9" i="5"/>
  <c r="Q9" i="5"/>
  <c r="R9" i="5"/>
  <c r="S9" i="5"/>
  <c r="T9" i="5"/>
  <c r="U9" i="5"/>
  <c r="V9" i="5"/>
  <c r="W9" i="5"/>
  <c r="X9" i="5"/>
  <c r="Y9" i="5"/>
  <c r="P10" i="5"/>
  <c r="Q10" i="5"/>
  <c r="R10" i="5"/>
  <c r="S10" i="5"/>
  <c r="T10" i="5"/>
  <c r="U10" i="5"/>
  <c r="V10" i="5"/>
  <c r="W10" i="5"/>
  <c r="X10" i="5"/>
  <c r="Y10" i="5"/>
  <c r="P11" i="5"/>
  <c r="Q11" i="5"/>
  <c r="R11" i="5"/>
  <c r="S11" i="5"/>
  <c r="T11" i="5"/>
  <c r="U11" i="5"/>
  <c r="V11" i="5"/>
  <c r="W11" i="5"/>
  <c r="X11" i="5"/>
  <c r="Y11" i="5"/>
  <c r="P12" i="5"/>
  <c r="Q12" i="5"/>
  <c r="R12" i="5"/>
  <c r="S12" i="5"/>
  <c r="T12" i="5"/>
  <c r="U12" i="5"/>
  <c r="V12" i="5"/>
  <c r="W12" i="5"/>
  <c r="X12" i="5"/>
  <c r="Y12" i="5"/>
  <c r="P13" i="5"/>
  <c r="Q13" i="5"/>
  <c r="R13" i="5"/>
  <c r="S13" i="5"/>
  <c r="T13" i="5"/>
  <c r="U13" i="5"/>
  <c r="V13" i="5"/>
  <c r="W13" i="5"/>
  <c r="X13" i="5"/>
  <c r="Y13" i="5"/>
  <c r="P14" i="5"/>
  <c r="Q14" i="5"/>
  <c r="R14" i="5"/>
  <c r="S14" i="5"/>
  <c r="T14" i="5"/>
  <c r="U14" i="5"/>
  <c r="V14" i="5"/>
  <c r="W14" i="5"/>
  <c r="X14" i="5"/>
  <c r="Y14" i="5"/>
  <c r="P15" i="5"/>
  <c r="Q15" i="5"/>
  <c r="R15" i="5"/>
  <c r="S15" i="5"/>
  <c r="T15" i="5"/>
  <c r="U15" i="5"/>
  <c r="V15" i="5"/>
  <c r="W15" i="5"/>
  <c r="X15" i="5"/>
  <c r="Y15" i="5"/>
  <c r="P16" i="5"/>
  <c r="Q16" i="5"/>
  <c r="R16" i="5"/>
  <c r="S16" i="5"/>
  <c r="T16" i="5"/>
  <c r="U16" i="5"/>
  <c r="V16" i="5"/>
  <c r="W16" i="5"/>
  <c r="X16" i="5"/>
  <c r="Y16" i="5"/>
  <c r="P17" i="5"/>
  <c r="Q17" i="5"/>
  <c r="R17" i="5"/>
  <c r="S17" i="5"/>
  <c r="T17" i="5"/>
  <c r="U17" i="5"/>
  <c r="V17" i="5"/>
  <c r="W17" i="5"/>
  <c r="X17" i="5"/>
  <c r="Y17" i="5"/>
  <c r="P18" i="5"/>
  <c r="Q18" i="5"/>
  <c r="R18" i="5"/>
  <c r="S18" i="5"/>
  <c r="T18" i="5"/>
  <c r="U18" i="5"/>
  <c r="V18" i="5"/>
  <c r="W18" i="5"/>
  <c r="X18" i="5"/>
  <c r="Y18" i="5"/>
  <c r="P19" i="5"/>
  <c r="Q19" i="5"/>
  <c r="R19" i="5"/>
  <c r="S19" i="5"/>
  <c r="T19" i="5"/>
  <c r="U19" i="5"/>
  <c r="V19" i="5"/>
  <c r="W19" i="5"/>
  <c r="X19" i="5"/>
  <c r="Y19" i="5"/>
  <c r="P20" i="5"/>
  <c r="Q20" i="5"/>
  <c r="R20" i="5"/>
  <c r="S20" i="5"/>
  <c r="T20" i="5"/>
  <c r="U20" i="5"/>
  <c r="V20" i="5"/>
  <c r="W20" i="5"/>
  <c r="X20" i="5"/>
  <c r="Y20" i="5"/>
  <c r="P21" i="5"/>
  <c r="Q21" i="5"/>
  <c r="R21" i="5"/>
  <c r="S21" i="5"/>
  <c r="T21" i="5"/>
  <c r="U21" i="5"/>
  <c r="V21" i="5"/>
  <c r="W21" i="5"/>
  <c r="X21" i="5"/>
  <c r="Y21" i="5"/>
  <c r="P22" i="5"/>
  <c r="Q22" i="5"/>
  <c r="R22" i="5"/>
  <c r="S22" i="5"/>
  <c r="T22" i="5"/>
  <c r="U22" i="5"/>
  <c r="V22" i="5"/>
  <c r="W22" i="5"/>
  <c r="X22" i="5"/>
  <c r="Y22" i="5"/>
  <c r="P23" i="5"/>
  <c r="Q23" i="5"/>
  <c r="R23" i="5"/>
  <c r="S23" i="5"/>
  <c r="T23" i="5"/>
  <c r="U23" i="5"/>
  <c r="V23" i="5"/>
  <c r="W23" i="5"/>
  <c r="X23" i="5"/>
  <c r="Y23" i="5"/>
  <c r="P24" i="5"/>
  <c r="Q24" i="5"/>
  <c r="R24" i="5"/>
  <c r="S24" i="5"/>
  <c r="T24" i="5"/>
  <c r="U24" i="5"/>
  <c r="V24" i="5"/>
  <c r="W24" i="5"/>
  <c r="X24" i="5"/>
  <c r="Y24" i="5"/>
  <c r="P25" i="5"/>
  <c r="Q25" i="5"/>
  <c r="R25" i="5"/>
  <c r="S25" i="5"/>
  <c r="T25" i="5"/>
  <c r="U25" i="5"/>
  <c r="V25" i="5"/>
  <c r="W25" i="5"/>
  <c r="X25" i="5"/>
  <c r="Y25" i="5"/>
  <c r="P26" i="5"/>
  <c r="Q26" i="5"/>
  <c r="R26" i="5"/>
  <c r="S26" i="5"/>
  <c r="T26" i="5"/>
  <c r="U26" i="5"/>
  <c r="V26" i="5"/>
  <c r="W26" i="5"/>
  <c r="X26" i="5"/>
  <c r="Y26" i="5"/>
  <c r="P27" i="5"/>
  <c r="Q27" i="5"/>
  <c r="R27" i="5"/>
  <c r="S27" i="5"/>
  <c r="T27" i="5"/>
  <c r="U27" i="5"/>
  <c r="V27" i="5"/>
  <c r="W27" i="5"/>
  <c r="X27" i="5"/>
  <c r="Y27" i="5"/>
  <c r="P28" i="5"/>
  <c r="Q28" i="5"/>
  <c r="R28" i="5"/>
  <c r="S28" i="5"/>
  <c r="T28" i="5"/>
  <c r="U28" i="5"/>
  <c r="V28" i="5"/>
  <c r="W28" i="5"/>
  <c r="X28" i="5"/>
  <c r="Y28" i="5"/>
  <c r="P29" i="5"/>
  <c r="Q29" i="5"/>
  <c r="R29" i="5"/>
  <c r="S29" i="5"/>
  <c r="T29" i="5"/>
  <c r="U29" i="5"/>
  <c r="V29" i="5"/>
  <c r="W29" i="5"/>
  <c r="X29" i="5"/>
  <c r="Y29" i="5"/>
  <c r="P30" i="5"/>
  <c r="Q30" i="5"/>
  <c r="R30" i="5"/>
  <c r="S30" i="5"/>
  <c r="T30" i="5"/>
  <c r="U30" i="5"/>
  <c r="V30" i="5"/>
  <c r="W30" i="5"/>
  <c r="X30" i="5"/>
  <c r="Y30" i="5"/>
  <c r="P31" i="5"/>
  <c r="Q31" i="5"/>
  <c r="R31" i="5"/>
  <c r="S31" i="5"/>
  <c r="T31" i="5"/>
  <c r="U31" i="5"/>
  <c r="V31" i="5"/>
  <c r="W31" i="5"/>
  <c r="X31" i="5"/>
  <c r="Y31" i="5"/>
  <c r="P32" i="5"/>
  <c r="Q32" i="5"/>
  <c r="R32" i="5"/>
  <c r="S32" i="5"/>
  <c r="T32" i="5"/>
  <c r="U32" i="5"/>
  <c r="V32" i="5"/>
  <c r="W32" i="5"/>
  <c r="X32" i="5"/>
  <c r="Y32" i="5"/>
  <c r="P33" i="5"/>
  <c r="Q33" i="5"/>
  <c r="R33" i="5"/>
  <c r="S33" i="5"/>
  <c r="T33" i="5"/>
  <c r="U33" i="5"/>
  <c r="V33" i="5"/>
  <c r="W33" i="5"/>
  <c r="X33" i="5"/>
  <c r="Y33" i="5"/>
  <c r="P34" i="5"/>
  <c r="Q34" i="5"/>
  <c r="R34" i="5"/>
  <c r="S34" i="5"/>
  <c r="T34" i="5"/>
  <c r="U34" i="5"/>
  <c r="V34" i="5"/>
  <c r="W34" i="5"/>
  <c r="X34" i="5"/>
  <c r="Y34" i="5"/>
  <c r="P35" i="5"/>
  <c r="Q35" i="5"/>
  <c r="R35" i="5"/>
  <c r="S35" i="5"/>
  <c r="T35" i="5"/>
  <c r="U35" i="5"/>
  <c r="V35" i="5"/>
  <c r="W35" i="5"/>
  <c r="X35" i="5"/>
  <c r="Y35" i="5"/>
  <c r="P36" i="5"/>
  <c r="Q36" i="5"/>
  <c r="R36" i="5"/>
  <c r="S36" i="5"/>
  <c r="T36" i="5"/>
  <c r="U36" i="5"/>
  <c r="V36" i="5"/>
  <c r="W36" i="5"/>
  <c r="X36" i="5"/>
  <c r="Y36" i="5"/>
  <c r="P37" i="5"/>
  <c r="Q37" i="5"/>
  <c r="R37" i="5"/>
  <c r="S37" i="5"/>
  <c r="T37" i="5"/>
  <c r="U37" i="5"/>
  <c r="V37" i="5"/>
  <c r="W37" i="5"/>
  <c r="X37" i="5"/>
  <c r="Y37" i="5"/>
  <c r="P38" i="5"/>
  <c r="Q38" i="5"/>
  <c r="R38" i="5"/>
  <c r="S38" i="5"/>
  <c r="T38" i="5"/>
  <c r="U38" i="5"/>
  <c r="V38" i="5"/>
  <c r="W38" i="5"/>
  <c r="X38" i="5"/>
  <c r="Y38" i="5"/>
  <c r="P39" i="5"/>
  <c r="Q39" i="5"/>
  <c r="R39" i="5"/>
  <c r="S39" i="5"/>
  <c r="T39" i="5"/>
  <c r="U39" i="5"/>
  <c r="V39" i="5"/>
  <c r="W39" i="5"/>
  <c r="X39" i="5"/>
  <c r="Y39" i="5"/>
  <c r="P40" i="5"/>
  <c r="Q40" i="5"/>
  <c r="R40" i="5"/>
  <c r="S40" i="5"/>
  <c r="T40" i="5"/>
  <c r="U40" i="5"/>
  <c r="V40" i="5"/>
  <c r="W40" i="5"/>
  <c r="X40" i="5"/>
  <c r="Y40" i="5"/>
  <c r="P41" i="5"/>
  <c r="Q41" i="5"/>
  <c r="R41" i="5"/>
  <c r="S41" i="5"/>
  <c r="T41" i="5"/>
  <c r="U41" i="5"/>
  <c r="V41" i="5"/>
  <c r="W41" i="5"/>
  <c r="X41" i="5"/>
  <c r="Y41" i="5"/>
  <c r="Y2" i="5"/>
  <c r="Q2" i="5"/>
  <c r="R2" i="5"/>
  <c r="S2" i="5"/>
  <c r="V2" i="5"/>
  <c r="P2" i="5"/>
  <c r="N2" i="5"/>
  <c r="T2" i="5" s="1"/>
  <c r="N3" i="5"/>
  <c r="N4" i="5"/>
  <c r="N31" i="5"/>
  <c r="N32" i="5"/>
  <c r="N33" i="5"/>
  <c r="N34" i="5"/>
  <c r="N35" i="5"/>
  <c r="N36" i="5"/>
  <c r="N30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7" i="5"/>
  <c r="N6" i="5"/>
  <c r="N5" i="5"/>
  <c r="M5" i="5"/>
  <c r="V19" i="4"/>
  <c r="V20" i="4" s="1"/>
  <c r="V21" i="4" s="1"/>
  <c r="V22" i="4" s="1"/>
  <c r="V23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18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3" i="4"/>
  <c r="Q3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B3" i="5"/>
  <c r="C3" i="5"/>
  <c r="D3" i="5"/>
  <c r="E3" i="5"/>
  <c r="F3" i="5"/>
  <c r="G3" i="5"/>
  <c r="H3" i="5"/>
  <c r="I3" i="5"/>
  <c r="J3" i="5"/>
  <c r="B4" i="5"/>
  <c r="C4" i="5"/>
  <c r="D4" i="5"/>
  <c r="E4" i="5"/>
  <c r="F4" i="5"/>
  <c r="G4" i="5"/>
  <c r="H4" i="5"/>
  <c r="I4" i="5"/>
  <c r="J4" i="5"/>
  <c r="B5" i="5"/>
  <c r="C5" i="5"/>
  <c r="D5" i="5"/>
  <c r="E5" i="5"/>
  <c r="F5" i="5"/>
  <c r="G5" i="5"/>
  <c r="H5" i="5"/>
  <c r="I5" i="5"/>
  <c r="J5" i="5"/>
  <c r="B6" i="5"/>
  <c r="C6" i="5"/>
  <c r="D6" i="5"/>
  <c r="E6" i="5"/>
  <c r="F6" i="5"/>
  <c r="G6" i="5"/>
  <c r="H6" i="5"/>
  <c r="I6" i="5"/>
  <c r="J6" i="5"/>
  <c r="B7" i="5"/>
  <c r="C7" i="5"/>
  <c r="D7" i="5"/>
  <c r="E7" i="5"/>
  <c r="F7" i="5"/>
  <c r="G7" i="5"/>
  <c r="H7" i="5"/>
  <c r="I7" i="5"/>
  <c r="J7" i="5"/>
  <c r="B8" i="5"/>
  <c r="C8" i="5"/>
  <c r="D8" i="5"/>
  <c r="E8" i="5"/>
  <c r="F8" i="5"/>
  <c r="G8" i="5"/>
  <c r="H8" i="5"/>
  <c r="I8" i="5"/>
  <c r="J8" i="5"/>
  <c r="B9" i="5"/>
  <c r="C9" i="5"/>
  <c r="D9" i="5"/>
  <c r="E9" i="5"/>
  <c r="F9" i="5"/>
  <c r="G9" i="5"/>
  <c r="H9" i="5"/>
  <c r="I9" i="5"/>
  <c r="J9" i="5"/>
  <c r="B10" i="5"/>
  <c r="C10" i="5"/>
  <c r="D10" i="5"/>
  <c r="E10" i="5"/>
  <c r="F10" i="5"/>
  <c r="G10" i="5"/>
  <c r="H10" i="5"/>
  <c r="I10" i="5"/>
  <c r="J10" i="5"/>
  <c r="B11" i="5"/>
  <c r="C11" i="5"/>
  <c r="D11" i="5"/>
  <c r="E11" i="5"/>
  <c r="F11" i="5"/>
  <c r="G11" i="5"/>
  <c r="H11" i="5"/>
  <c r="I11" i="5"/>
  <c r="J11" i="5"/>
  <c r="B12" i="5"/>
  <c r="C12" i="5"/>
  <c r="D12" i="5"/>
  <c r="E12" i="5"/>
  <c r="F12" i="5"/>
  <c r="G12" i="5"/>
  <c r="H12" i="5"/>
  <c r="I12" i="5"/>
  <c r="J12" i="5"/>
  <c r="B13" i="5"/>
  <c r="C13" i="5"/>
  <c r="D13" i="5"/>
  <c r="E13" i="5"/>
  <c r="F13" i="5"/>
  <c r="G13" i="5"/>
  <c r="H13" i="5"/>
  <c r="I13" i="5"/>
  <c r="J13" i="5"/>
  <c r="B14" i="5"/>
  <c r="C14" i="5"/>
  <c r="D14" i="5"/>
  <c r="E14" i="5"/>
  <c r="F14" i="5"/>
  <c r="G14" i="5"/>
  <c r="H14" i="5"/>
  <c r="I14" i="5"/>
  <c r="J14" i="5"/>
  <c r="B15" i="5"/>
  <c r="C15" i="5"/>
  <c r="D15" i="5"/>
  <c r="E15" i="5"/>
  <c r="F15" i="5"/>
  <c r="G15" i="5"/>
  <c r="H15" i="5"/>
  <c r="I15" i="5"/>
  <c r="J15" i="5"/>
  <c r="B16" i="5"/>
  <c r="C16" i="5"/>
  <c r="D16" i="5"/>
  <c r="E16" i="5"/>
  <c r="F16" i="5"/>
  <c r="G16" i="5"/>
  <c r="H16" i="5"/>
  <c r="I16" i="5"/>
  <c r="J16" i="5"/>
  <c r="B17" i="5"/>
  <c r="C17" i="5"/>
  <c r="D17" i="5"/>
  <c r="E17" i="5"/>
  <c r="F17" i="5"/>
  <c r="G17" i="5"/>
  <c r="H17" i="5"/>
  <c r="I17" i="5"/>
  <c r="J17" i="5"/>
  <c r="B18" i="5"/>
  <c r="C18" i="5"/>
  <c r="D18" i="5"/>
  <c r="E18" i="5"/>
  <c r="F18" i="5"/>
  <c r="G18" i="5"/>
  <c r="H18" i="5"/>
  <c r="I18" i="5"/>
  <c r="J18" i="5"/>
  <c r="B19" i="5"/>
  <c r="C19" i="5"/>
  <c r="D19" i="5"/>
  <c r="E19" i="5"/>
  <c r="F19" i="5"/>
  <c r="G19" i="5"/>
  <c r="H19" i="5"/>
  <c r="I19" i="5"/>
  <c r="J19" i="5"/>
  <c r="B20" i="5"/>
  <c r="C20" i="5"/>
  <c r="D20" i="5"/>
  <c r="E20" i="5"/>
  <c r="F20" i="5"/>
  <c r="G20" i="5"/>
  <c r="H20" i="5"/>
  <c r="I20" i="5"/>
  <c r="J20" i="5"/>
  <c r="B21" i="5"/>
  <c r="C21" i="5"/>
  <c r="D21" i="5"/>
  <c r="E21" i="5"/>
  <c r="F21" i="5"/>
  <c r="G21" i="5"/>
  <c r="H21" i="5"/>
  <c r="I21" i="5"/>
  <c r="J21" i="5"/>
  <c r="B22" i="5"/>
  <c r="C22" i="5"/>
  <c r="D22" i="5"/>
  <c r="E22" i="5"/>
  <c r="F22" i="5"/>
  <c r="G22" i="5"/>
  <c r="H22" i="5"/>
  <c r="I22" i="5"/>
  <c r="J22" i="5"/>
  <c r="B23" i="5"/>
  <c r="C23" i="5"/>
  <c r="D23" i="5"/>
  <c r="E23" i="5"/>
  <c r="F23" i="5"/>
  <c r="G23" i="5"/>
  <c r="H23" i="5"/>
  <c r="I23" i="5"/>
  <c r="J23" i="5"/>
  <c r="B24" i="5"/>
  <c r="C24" i="5"/>
  <c r="D24" i="5"/>
  <c r="E24" i="5"/>
  <c r="F24" i="5"/>
  <c r="G24" i="5"/>
  <c r="H24" i="5"/>
  <c r="I24" i="5"/>
  <c r="J24" i="5"/>
  <c r="B25" i="5"/>
  <c r="C25" i="5"/>
  <c r="D25" i="5"/>
  <c r="E25" i="5"/>
  <c r="F25" i="5"/>
  <c r="G25" i="5"/>
  <c r="H25" i="5"/>
  <c r="I25" i="5"/>
  <c r="J25" i="5"/>
  <c r="B26" i="5"/>
  <c r="C26" i="5"/>
  <c r="D26" i="5"/>
  <c r="E26" i="5"/>
  <c r="F26" i="5"/>
  <c r="G26" i="5"/>
  <c r="H26" i="5"/>
  <c r="I26" i="5"/>
  <c r="J26" i="5"/>
  <c r="B27" i="5"/>
  <c r="C27" i="5"/>
  <c r="D27" i="5"/>
  <c r="E27" i="5"/>
  <c r="F27" i="5"/>
  <c r="G27" i="5"/>
  <c r="H27" i="5"/>
  <c r="I27" i="5"/>
  <c r="J27" i="5"/>
  <c r="B28" i="5"/>
  <c r="C28" i="5"/>
  <c r="D28" i="5"/>
  <c r="E28" i="5"/>
  <c r="F28" i="5"/>
  <c r="G28" i="5"/>
  <c r="H28" i="5"/>
  <c r="I28" i="5"/>
  <c r="J28" i="5"/>
  <c r="B29" i="5"/>
  <c r="C29" i="5"/>
  <c r="D29" i="5"/>
  <c r="E29" i="5"/>
  <c r="F29" i="5"/>
  <c r="G29" i="5"/>
  <c r="H29" i="5"/>
  <c r="I29" i="5"/>
  <c r="J29" i="5"/>
  <c r="B30" i="5"/>
  <c r="C30" i="5"/>
  <c r="D30" i="5"/>
  <c r="E30" i="5"/>
  <c r="F30" i="5"/>
  <c r="G30" i="5"/>
  <c r="H30" i="5"/>
  <c r="I30" i="5"/>
  <c r="J30" i="5"/>
  <c r="B31" i="5"/>
  <c r="C31" i="5"/>
  <c r="D31" i="5"/>
  <c r="E31" i="5"/>
  <c r="F31" i="5"/>
  <c r="G31" i="5"/>
  <c r="H31" i="5"/>
  <c r="I31" i="5"/>
  <c r="J31" i="5"/>
  <c r="B32" i="5"/>
  <c r="C32" i="5"/>
  <c r="D32" i="5"/>
  <c r="E32" i="5"/>
  <c r="F32" i="5"/>
  <c r="G32" i="5"/>
  <c r="H32" i="5"/>
  <c r="I32" i="5"/>
  <c r="J32" i="5"/>
  <c r="B33" i="5"/>
  <c r="C33" i="5"/>
  <c r="D33" i="5"/>
  <c r="E33" i="5"/>
  <c r="F33" i="5"/>
  <c r="G33" i="5"/>
  <c r="H33" i="5"/>
  <c r="I33" i="5"/>
  <c r="J33" i="5"/>
  <c r="B34" i="5"/>
  <c r="C34" i="5"/>
  <c r="D34" i="5"/>
  <c r="E34" i="5"/>
  <c r="F34" i="5"/>
  <c r="G34" i="5"/>
  <c r="H34" i="5"/>
  <c r="I34" i="5"/>
  <c r="J34" i="5"/>
  <c r="B35" i="5"/>
  <c r="C35" i="5"/>
  <c r="D35" i="5"/>
  <c r="E35" i="5"/>
  <c r="F35" i="5"/>
  <c r="G35" i="5"/>
  <c r="H35" i="5"/>
  <c r="I35" i="5"/>
  <c r="J35" i="5"/>
  <c r="B36" i="5"/>
  <c r="C36" i="5"/>
  <c r="D36" i="5"/>
  <c r="E36" i="5"/>
  <c r="F36" i="5"/>
  <c r="G36" i="5"/>
  <c r="H36" i="5"/>
  <c r="I36" i="5"/>
  <c r="J36" i="5"/>
  <c r="B37" i="5"/>
  <c r="C37" i="5"/>
  <c r="D37" i="5"/>
  <c r="E37" i="5"/>
  <c r="F37" i="5"/>
  <c r="G37" i="5"/>
  <c r="H37" i="5"/>
  <c r="I37" i="5"/>
  <c r="J37" i="5"/>
  <c r="B38" i="5"/>
  <c r="C38" i="5"/>
  <c r="D38" i="5"/>
  <c r="E38" i="5"/>
  <c r="F38" i="5"/>
  <c r="G38" i="5"/>
  <c r="H38" i="5"/>
  <c r="I38" i="5"/>
  <c r="J38" i="5"/>
  <c r="B39" i="5"/>
  <c r="C39" i="5"/>
  <c r="D39" i="5"/>
  <c r="E39" i="5"/>
  <c r="F39" i="5"/>
  <c r="G39" i="5"/>
  <c r="H39" i="5"/>
  <c r="I39" i="5"/>
  <c r="J39" i="5"/>
  <c r="B40" i="5"/>
  <c r="C40" i="5"/>
  <c r="D40" i="5"/>
  <c r="E40" i="5"/>
  <c r="F40" i="5"/>
  <c r="G40" i="5"/>
  <c r="H40" i="5"/>
  <c r="I40" i="5"/>
  <c r="J40" i="5"/>
  <c r="B41" i="5"/>
  <c r="C41" i="5"/>
  <c r="D41" i="5"/>
  <c r="E41" i="5"/>
  <c r="F41" i="5"/>
  <c r="G41" i="5"/>
  <c r="H41" i="5"/>
  <c r="I41" i="5"/>
  <c r="J41" i="5"/>
  <c r="C2" i="5"/>
  <c r="D2" i="5"/>
  <c r="E2" i="5"/>
  <c r="F2" i="5"/>
  <c r="G2" i="5"/>
  <c r="H2" i="5"/>
  <c r="I2" i="5"/>
  <c r="J2" i="5"/>
  <c r="B2" i="5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2" i="4"/>
  <c r="J2" i="1"/>
  <c r="T2" i="3"/>
  <c r="R2" i="3"/>
  <c r="Q2" i="3"/>
  <c r="P2" i="3"/>
  <c r="O2" i="3"/>
  <c r="N2" i="3"/>
  <c r="I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G3" i="3"/>
  <c r="C3" i="3"/>
  <c r="C4" i="3" s="1"/>
  <c r="C5" i="3" s="1"/>
  <c r="C6" i="3" s="1"/>
  <c r="C7" i="3" s="1"/>
  <c r="B3" i="3"/>
  <c r="B4" i="3" s="1"/>
  <c r="B5" i="3" s="1"/>
  <c r="B6" i="3" s="1"/>
  <c r="B7" i="3" s="1"/>
  <c r="B8" i="3" s="1"/>
  <c r="B9" i="3" s="1"/>
  <c r="B10" i="3" s="1"/>
  <c r="B11" i="3" s="1"/>
  <c r="J2" i="3"/>
  <c r="V2" i="3" s="1"/>
  <c r="F3" i="3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E3" i="3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J4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X2" i="5" l="1"/>
  <c r="W2" i="5"/>
  <c r="U2" i="5"/>
  <c r="K34" i="5"/>
  <c r="K14" i="5"/>
  <c r="R3" i="4"/>
  <c r="Q4" i="4"/>
  <c r="K7" i="5"/>
  <c r="K16" i="5"/>
  <c r="K35" i="5"/>
  <c r="K15" i="5"/>
  <c r="K13" i="5"/>
  <c r="K22" i="5"/>
  <c r="K27" i="5"/>
  <c r="K36" i="5"/>
  <c r="K33" i="5"/>
  <c r="K32" i="5"/>
  <c r="K37" i="5"/>
  <c r="K17" i="5"/>
  <c r="K31" i="5"/>
  <c r="K11" i="5"/>
  <c r="K30" i="5"/>
  <c r="K10" i="5"/>
  <c r="K29" i="5"/>
  <c r="K9" i="5"/>
  <c r="K28" i="5"/>
  <c r="K8" i="5"/>
  <c r="K12" i="5"/>
  <c r="K26" i="5"/>
  <c r="K6" i="5"/>
  <c r="K25" i="5"/>
  <c r="K5" i="5"/>
  <c r="K23" i="5"/>
  <c r="K3" i="5"/>
  <c r="K41" i="5"/>
  <c r="K21" i="5"/>
  <c r="K24" i="5"/>
  <c r="K4" i="5"/>
  <c r="K2" i="5"/>
  <c r="K40" i="5"/>
  <c r="K20" i="5"/>
  <c r="K39" i="5"/>
  <c r="K19" i="5"/>
  <c r="K38" i="5"/>
  <c r="K18" i="5"/>
  <c r="J3" i="3"/>
  <c r="T3" i="3" s="1"/>
  <c r="E22" i="3"/>
  <c r="C8" i="3"/>
  <c r="G4" i="3"/>
  <c r="I4" i="3"/>
  <c r="S2" i="3"/>
  <c r="U2" i="3"/>
  <c r="B12" i="3"/>
  <c r="A16" i="3"/>
  <c r="J4" i="3"/>
  <c r="T4" i="3" s="1"/>
  <c r="Q5" i="4" l="1"/>
  <c r="R4" i="4"/>
  <c r="R3" i="3"/>
  <c r="P3" i="3"/>
  <c r="P4" i="3"/>
  <c r="S3" i="3"/>
  <c r="O3" i="3"/>
  <c r="Q3" i="3"/>
  <c r="N3" i="3"/>
  <c r="V3" i="3"/>
  <c r="S4" i="3"/>
  <c r="O4" i="3"/>
  <c r="Q4" i="3"/>
  <c r="R4" i="3"/>
  <c r="N4" i="3"/>
  <c r="I5" i="3"/>
  <c r="V4" i="3"/>
  <c r="U4" i="3"/>
  <c r="G5" i="3"/>
  <c r="A17" i="3"/>
  <c r="U3" i="3"/>
  <c r="B13" i="3"/>
  <c r="C9" i="3"/>
  <c r="E23" i="3"/>
  <c r="Q6" i="4" l="1"/>
  <c r="R5" i="4"/>
  <c r="G6" i="3"/>
  <c r="A18" i="3"/>
  <c r="I6" i="3"/>
  <c r="C10" i="3"/>
  <c r="B14" i="3"/>
  <c r="J5" i="3"/>
  <c r="E24" i="3"/>
  <c r="Q7" i="4" l="1"/>
  <c r="R6" i="4"/>
  <c r="T5" i="3"/>
  <c r="O5" i="3"/>
  <c r="J6" i="3"/>
  <c r="Q6" i="3" s="1"/>
  <c r="E25" i="3"/>
  <c r="C11" i="3"/>
  <c r="S5" i="3"/>
  <c r="Q5" i="3"/>
  <c r="R5" i="3"/>
  <c r="P5" i="3"/>
  <c r="N5" i="3"/>
  <c r="B15" i="3"/>
  <c r="V5" i="3"/>
  <c r="I7" i="3"/>
  <c r="A19" i="3"/>
  <c r="G7" i="3"/>
  <c r="U5" i="3"/>
  <c r="Q8" i="4" l="1"/>
  <c r="R7" i="4"/>
  <c r="V6" i="3"/>
  <c r="P6" i="3"/>
  <c r="N6" i="3"/>
  <c r="S6" i="3"/>
  <c r="R6" i="3"/>
  <c r="T6" i="3"/>
  <c r="O6" i="3"/>
  <c r="U6" i="3"/>
  <c r="I8" i="3"/>
  <c r="B16" i="3"/>
  <c r="G8" i="3"/>
  <c r="C12" i="3"/>
  <c r="A20" i="3"/>
  <c r="J7" i="3"/>
  <c r="T7" i="3" s="1"/>
  <c r="E26" i="3"/>
  <c r="J8" i="3"/>
  <c r="T8" i="3" s="1"/>
  <c r="Q9" i="4" l="1"/>
  <c r="R8" i="4"/>
  <c r="O8" i="3"/>
  <c r="S8" i="3"/>
  <c r="R8" i="3"/>
  <c r="Q8" i="3"/>
  <c r="N8" i="3"/>
  <c r="P8" i="3"/>
  <c r="C13" i="3"/>
  <c r="E27" i="3"/>
  <c r="Q7" i="3"/>
  <c r="R7" i="3"/>
  <c r="S7" i="3"/>
  <c r="O7" i="3"/>
  <c r="P7" i="3"/>
  <c r="N7" i="3"/>
  <c r="A21" i="3"/>
  <c r="U7" i="3"/>
  <c r="G9" i="3"/>
  <c r="U8" i="3"/>
  <c r="B17" i="3"/>
  <c r="V7" i="3"/>
  <c r="I9" i="3"/>
  <c r="V8" i="3"/>
  <c r="Q10" i="4" l="1"/>
  <c r="R9" i="4"/>
  <c r="G10" i="3"/>
  <c r="C14" i="3"/>
  <c r="B18" i="3"/>
  <c r="A22" i="3"/>
  <c r="E28" i="3"/>
  <c r="J9" i="3"/>
  <c r="I10" i="3"/>
  <c r="J10" i="3" s="1"/>
  <c r="T10" i="3" s="1"/>
  <c r="Q11" i="4" l="1"/>
  <c r="R10" i="4"/>
  <c r="V9" i="3"/>
  <c r="T9" i="3"/>
  <c r="Q10" i="3"/>
  <c r="O10" i="3"/>
  <c r="N10" i="3"/>
  <c r="R10" i="3"/>
  <c r="S10" i="3"/>
  <c r="P10" i="3"/>
  <c r="I11" i="3"/>
  <c r="V10" i="3"/>
  <c r="O9" i="3"/>
  <c r="N9" i="3"/>
  <c r="S9" i="3"/>
  <c r="Q9" i="3"/>
  <c r="R9" i="3"/>
  <c r="P9" i="3"/>
  <c r="E29" i="3"/>
  <c r="A23" i="3"/>
  <c r="B19" i="3"/>
  <c r="C15" i="3"/>
  <c r="U9" i="3"/>
  <c r="G11" i="3"/>
  <c r="U10" i="3"/>
  <c r="Q12" i="4" l="1"/>
  <c r="R11" i="4"/>
  <c r="B20" i="3"/>
  <c r="A24" i="3"/>
  <c r="E30" i="3"/>
  <c r="I12" i="3"/>
  <c r="J11" i="3"/>
  <c r="G12" i="3"/>
  <c r="C16" i="3"/>
  <c r="Q13" i="4" l="1"/>
  <c r="R12" i="4"/>
  <c r="J12" i="3"/>
  <c r="T12" i="3" s="1"/>
  <c r="V11" i="3"/>
  <c r="T11" i="3"/>
  <c r="Q11" i="3"/>
  <c r="N11" i="3"/>
  <c r="O11" i="3"/>
  <c r="S11" i="3"/>
  <c r="R11" i="3"/>
  <c r="P11" i="3"/>
  <c r="C17" i="3"/>
  <c r="U11" i="3"/>
  <c r="G13" i="3"/>
  <c r="I13" i="3"/>
  <c r="E31" i="3"/>
  <c r="A25" i="3"/>
  <c r="B21" i="3"/>
  <c r="Q14" i="4" l="1"/>
  <c r="R13" i="4"/>
  <c r="R12" i="3"/>
  <c r="V12" i="3"/>
  <c r="P12" i="3"/>
  <c r="O12" i="3"/>
  <c r="N12" i="3"/>
  <c r="S12" i="3"/>
  <c r="Q12" i="3"/>
  <c r="U12" i="3"/>
  <c r="I14" i="3"/>
  <c r="C18" i="3"/>
  <c r="E32" i="3"/>
  <c r="G14" i="3"/>
  <c r="J13" i="3"/>
  <c r="T13" i="3" s="1"/>
  <c r="A26" i="3"/>
  <c r="B22" i="3"/>
  <c r="J14" i="3"/>
  <c r="Q15" i="4" l="1"/>
  <c r="R14" i="4"/>
  <c r="T14" i="3"/>
  <c r="P14" i="3"/>
  <c r="S14" i="3"/>
  <c r="R14" i="3"/>
  <c r="Q14" i="3"/>
  <c r="N14" i="3"/>
  <c r="O14" i="3"/>
  <c r="A27" i="3"/>
  <c r="B23" i="3"/>
  <c r="Q13" i="3"/>
  <c r="R13" i="3"/>
  <c r="N13" i="3"/>
  <c r="S13" i="3"/>
  <c r="O13" i="3"/>
  <c r="P13" i="3"/>
  <c r="U13" i="3"/>
  <c r="G15" i="3"/>
  <c r="U14" i="3"/>
  <c r="E33" i="3"/>
  <c r="C19" i="3"/>
  <c r="V13" i="3"/>
  <c r="I15" i="3"/>
  <c r="V14" i="3"/>
  <c r="Q16" i="4" l="1"/>
  <c r="R15" i="4"/>
  <c r="C20" i="3"/>
  <c r="E34" i="3"/>
  <c r="G16" i="3"/>
  <c r="B24" i="3"/>
  <c r="J15" i="3"/>
  <c r="T15" i="3" s="1"/>
  <c r="A28" i="3"/>
  <c r="I16" i="3"/>
  <c r="J16" i="3" s="1"/>
  <c r="T16" i="3" s="1"/>
  <c r="Q17" i="4" l="1"/>
  <c r="R16" i="4"/>
  <c r="V15" i="3"/>
  <c r="S16" i="3"/>
  <c r="R16" i="3"/>
  <c r="Q16" i="3"/>
  <c r="N16" i="3"/>
  <c r="O16" i="3"/>
  <c r="P16" i="3"/>
  <c r="I17" i="3"/>
  <c r="V16" i="3"/>
  <c r="A29" i="3"/>
  <c r="S15" i="3"/>
  <c r="N15" i="3"/>
  <c r="R15" i="3"/>
  <c r="Q15" i="3"/>
  <c r="O15" i="3"/>
  <c r="P15" i="3"/>
  <c r="B25" i="3"/>
  <c r="U15" i="3"/>
  <c r="G17" i="3"/>
  <c r="J17" i="3" s="1"/>
  <c r="T17" i="3" s="1"/>
  <c r="U16" i="3"/>
  <c r="E35" i="3"/>
  <c r="C21" i="3"/>
  <c r="R17" i="4" l="1"/>
  <c r="Q17" i="3"/>
  <c r="S17" i="3"/>
  <c r="R17" i="3"/>
  <c r="N17" i="3"/>
  <c r="O17" i="3"/>
  <c r="P17" i="3"/>
  <c r="A30" i="3"/>
  <c r="E36" i="3"/>
  <c r="G18" i="3"/>
  <c r="U17" i="3"/>
  <c r="B26" i="3"/>
  <c r="I18" i="3"/>
  <c r="V17" i="3"/>
  <c r="C22" i="3"/>
  <c r="J18" i="3"/>
  <c r="T18" i="3" s="1"/>
  <c r="R18" i="4" l="1"/>
  <c r="Q18" i="3"/>
  <c r="R18" i="3"/>
  <c r="S18" i="3"/>
  <c r="N18" i="3"/>
  <c r="O18" i="3"/>
  <c r="P18" i="3"/>
  <c r="C23" i="3"/>
  <c r="I19" i="3"/>
  <c r="V18" i="3"/>
  <c r="B27" i="3"/>
  <c r="G19" i="3"/>
  <c r="U18" i="3"/>
  <c r="E37" i="3"/>
  <c r="A31" i="3"/>
  <c r="J19" i="3"/>
  <c r="T19" i="3" s="1"/>
  <c r="R19" i="4" l="1"/>
  <c r="Q19" i="3"/>
  <c r="S19" i="3"/>
  <c r="R19" i="3"/>
  <c r="N19" i="3"/>
  <c r="O19" i="3"/>
  <c r="P19" i="3"/>
  <c r="A32" i="3"/>
  <c r="E38" i="3"/>
  <c r="G20" i="3"/>
  <c r="U19" i="3"/>
  <c r="B28" i="3"/>
  <c r="I20" i="3"/>
  <c r="V19" i="3"/>
  <c r="C24" i="3"/>
  <c r="R20" i="4" l="1"/>
  <c r="J20" i="3"/>
  <c r="T20" i="3" s="1"/>
  <c r="I21" i="3"/>
  <c r="B29" i="3"/>
  <c r="E39" i="3"/>
  <c r="C25" i="3"/>
  <c r="G21" i="3"/>
  <c r="A33" i="3"/>
  <c r="J21" i="3"/>
  <c r="T21" i="3" s="1"/>
  <c r="R21" i="4" l="1"/>
  <c r="U20" i="3"/>
  <c r="V20" i="3"/>
  <c r="P20" i="3"/>
  <c r="O20" i="3"/>
  <c r="N20" i="3"/>
  <c r="R20" i="3"/>
  <c r="S20" i="3"/>
  <c r="Q20" i="3"/>
  <c r="C26" i="3"/>
  <c r="Q21" i="3"/>
  <c r="R21" i="3"/>
  <c r="S21" i="3"/>
  <c r="N21" i="3"/>
  <c r="O21" i="3"/>
  <c r="P21" i="3"/>
  <c r="A34" i="3"/>
  <c r="G22" i="3"/>
  <c r="U21" i="3"/>
  <c r="E40" i="3"/>
  <c r="B30" i="3"/>
  <c r="I22" i="3"/>
  <c r="V21" i="3"/>
  <c r="J22" i="3"/>
  <c r="T22" i="3" s="1"/>
  <c r="R22" i="4" l="1"/>
  <c r="S22" i="3"/>
  <c r="Q22" i="3"/>
  <c r="R22" i="3"/>
  <c r="N22" i="3"/>
  <c r="O22" i="3"/>
  <c r="P22" i="3"/>
  <c r="I23" i="3"/>
  <c r="V22" i="3"/>
  <c r="B31" i="3"/>
  <c r="E41" i="3"/>
  <c r="G23" i="3"/>
  <c r="U22" i="3"/>
  <c r="A35" i="3"/>
  <c r="C27" i="3"/>
  <c r="J23" i="3"/>
  <c r="T23" i="3" s="1"/>
  <c r="R23" i="4" l="1"/>
  <c r="C28" i="3"/>
  <c r="Q23" i="3"/>
  <c r="S23" i="3"/>
  <c r="R23" i="3"/>
  <c r="N23" i="3"/>
  <c r="O23" i="3"/>
  <c r="P23" i="3"/>
  <c r="A36" i="3"/>
  <c r="G24" i="3"/>
  <c r="U23" i="3"/>
  <c r="E42" i="3"/>
  <c r="B32" i="3"/>
  <c r="I24" i="3"/>
  <c r="V23" i="3"/>
  <c r="J24" i="3"/>
  <c r="T24" i="3" s="1"/>
  <c r="R24" i="4" l="1"/>
  <c r="S24" i="3"/>
  <c r="Q24" i="3"/>
  <c r="R24" i="3"/>
  <c r="N24" i="3"/>
  <c r="O24" i="3"/>
  <c r="P24" i="3"/>
  <c r="I25" i="3"/>
  <c r="V24" i="3"/>
  <c r="B33" i="3"/>
  <c r="G25" i="3"/>
  <c r="U24" i="3"/>
  <c r="A37" i="3"/>
  <c r="C29" i="3"/>
  <c r="J25" i="3"/>
  <c r="T25" i="3" s="1"/>
  <c r="R25" i="4" l="1"/>
  <c r="G26" i="3"/>
  <c r="U25" i="3"/>
  <c r="S25" i="3"/>
  <c r="Q25" i="3"/>
  <c r="R25" i="3"/>
  <c r="N25" i="3"/>
  <c r="O25" i="3"/>
  <c r="P25" i="3"/>
  <c r="C30" i="3"/>
  <c r="A38" i="3"/>
  <c r="B34" i="3"/>
  <c r="I26" i="3"/>
  <c r="V25" i="3"/>
  <c r="J26" i="3"/>
  <c r="T26" i="3" s="1"/>
  <c r="R26" i="4" l="1"/>
  <c r="C31" i="3"/>
  <c r="Q26" i="3"/>
  <c r="S26" i="3"/>
  <c r="R26" i="3"/>
  <c r="N26" i="3"/>
  <c r="O26" i="3"/>
  <c r="P26" i="3"/>
  <c r="I27" i="3"/>
  <c r="V26" i="3"/>
  <c r="B35" i="3"/>
  <c r="A39" i="3"/>
  <c r="G27" i="3"/>
  <c r="U26" i="3"/>
  <c r="J27" i="3"/>
  <c r="T27" i="3" s="1"/>
  <c r="R27" i="4" l="1"/>
  <c r="Q27" i="3"/>
  <c r="S27" i="3"/>
  <c r="R27" i="3"/>
  <c r="N27" i="3"/>
  <c r="O27" i="3"/>
  <c r="P27" i="3"/>
  <c r="G28" i="3"/>
  <c r="U27" i="3"/>
  <c r="B36" i="3"/>
  <c r="A40" i="3"/>
  <c r="I28" i="3"/>
  <c r="J28" i="3" s="1"/>
  <c r="T28" i="3" s="1"/>
  <c r="V27" i="3"/>
  <c r="C32" i="3"/>
  <c r="R28" i="4" l="1"/>
  <c r="S28" i="3"/>
  <c r="Q28" i="3"/>
  <c r="R28" i="3"/>
  <c r="N28" i="3"/>
  <c r="O28" i="3"/>
  <c r="P28" i="3"/>
  <c r="C33" i="3"/>
  <c r="I29" i="3"/>
  <c r="V28" i="3"/>
  <c r="A41" i="3"/>
  <c r="B37" i="3"/>
  <c r="G29" i="3"/>
  <c r="U28" i="3"/>
  <c r="J29" i="3"/>
  <c r="T29" i="3" s="1"/>
  <c r="R29" i="4" l="1"/>
  <c r="S29" i="3"/>
  <c r="Q29" i="3"/>
  <c r="R29" i="3"/>
  <c r="N29" i="3"/>
  <c r="O29" i="3"/>
  <c r="P29" i="3"/>
  <c r="G30" i="3"/>
  <c r="U29" i="3"/>
  <c r="B38" i="3"/>
  <c r="A42" i="3"/>
  <c r="I30" i="3"/>
  <c r="V29" i="3"/>
  <c r="C34" i="3"/>
  <c r="J30" i="3"/>
  <c r="T30" i="3" s="1"/>
  <c r="R30" i="4" l="1"/>
  <c r="S30" i="3"/>
  <c r="Q30" i="3"/>
  <c r="R30" i="3"/>
  <c r="N30" i="3"/>
  <c r="O30" i="3"/>
  <c r="P30" i="3"/>
  <c r="C35" i="3"/>
  <c r="I31" i="3"/>
  <c r="V30" i="3"/>
  <c r="B39" i="3"/>
  <c r="G31" i="3"/>
  <c r="U30" i="3"/>
  <c r="R31" i="4" l="1"/>
  <c r="J31" i="3"/>
  <c r="T31" i="3" s="1"/>
  <c r="B40" i="3"/>
  <c r="G32" i="3"/>
  <c r="I32" i="3"/>
  <c r="C36" i="3"/>
  <c r="J32" i="3"/>
  <c r="T32" i="3" s="1"/>
  <c r="R32" i="4" l="1"/>
  <c r="V31" i="3"/>
  <c r="U31" i="3"/>
  <c r="N31" i="3"/>
  <c r="P31" i="3"/>
  <c r="O31" i="3"/>
  <c r="R31" i="3"/>
  <c r="Q31" i="3"/>
  <c r="S31" i="3"/>
  <c r="C37" i="3"/>
  <c r="Q32" i="3"/>
  <c r="S32" i="3"/>
  <c r="R32" i="3"/>
  <c r="N32" i="3"/>
  <c r="O32" i="3"/>
  <c r="P32" i="3"/>
  <c r="B41" i="3"/>
  <c r="I33" i="3"/>
  <c r="V32" i="3"/>
  <c r="G33" i="3"/>
  <c r="J33" i="3" s="1"/>
  <c r="T33" i="3" s="1"/>
  <c r="U32" i="3"/>
  <c r="R33" i="4" l="1"/>
  <c r="B42" i="3"/>
  <c r="Q33" i="3"/>
  <c r="S33" i="3"/>
  <c r="R33" i="3"/>
  <c r="N33" i="3"/>
  <c r="O33" i="3"/>
  <c r="P33" i="3"/>
  <c r="G34" i="3"/>
  <c r="U33" i="3"/>
  <c r="I34" i="3"/>
  <c r="V33" i="3"/>
  <c r="C38" i="3"/>
  <c r="J34" i="3"/>
  <c r="T34" i="3" s="1"/>
  <c r="R34" i="4" l="1"/>
  <c r="S34" i="3"/>
  <c r="Q34" i="3"/>
  <c r="R34" i="3"/>
  <c r="N34" i="3"/>
  <c r="O34" i="3"/>
  <c r="P34" i="3"/>
  <c r="C39" i="3"/>
  <c r="I35" i="3"/>
  <c r="V34" i="3"/>
  <c r="G35" i="3"/>
  <c r="U34" i="3"/>
  <c r="R35" i="4" l="1"/>
  <c r="J35" i="3"/>
  <c r="T35" i="3" s="1"/>
  <c r="G36" i="3"/>
  <c r="I36" i="3"/>
  <c r="C40" i="3"/>
  <c r="J36" i="3"/>
  <c r="T36" i="3" s="1"/>
  <c r="R36" i="4" l="1"/>
  <c r="O35" i="3"/>
  <c r="V35" i="3"/>
  <c r="P35" i="3"/>
  <c r="N35" i="3"/>
  <c r="U35" i="3"/>
  <c r="R35" i="3"/>
  <c r="Q35" i="3"/>
  <c r="S35" i="3"/>
  <c r="S36" i="3"/>
  <c r="Q36" i="3"/>
  <c r="R36" i="3"/>
  <c r="N36" i="3"/>
  <c r="O36" i="3"/>
  <c r="P36" i="3"/>
  <c r="C41" i="3"/>
  <c r="I37" i="3"/>
  <c r="V36" i="3"/>
  <c r="G37" i="3"/>
  <c r="U36" i="3"/>
  <c r="J37" i="3"/>
  <c r="T37" i="3" s="1"/>
  <c r="R37" i="4" l="1"/>
  <c r="I38" i="3"/>
  <c r="V37" i="3"/>
  <c r="G38" i="3"/>
  <c r="U37" i="3"/>
  <c r="Q37" i="3"/>
  <c r="S37" i="3"/>
  <c r="R37" i="3"/>
  <c r="N37" i="3"/>
  <c r="O37" i="3"/>
  <c r="P37" i="3"/>
  <c r="C42" i="3"/>
  <c r="J38" i="3"/>
  <c r="T38" i="3" s="1"/>
  <c r="R38" i="4" l="1"/>
  <c r="Q38" i="3"/>
  <c r="S38" i="3"/>
  <c r="R38" i="3"/>
  <c r="N38" i="3"/>
  <c r="O38" i="3"/>
  <c r="P38" i="3"/>
  <c r="G39" i="3"/>
  <c r="U38" i="3"/>
  <c r="I39" i="3"/>
  <c r="J39" i="3" s="1"/>
  <c r="T39" i="3" s="1"/>
  <c r="V38" i="3"/>
  <c r="R39" i="4" l="1"/>
  <c r="S39" i="3"/>
  <c r="Q39" i="3"/>
  <c r="R39" i="3"/>
  <c r="N39" i="3"/>
  <c r="O39" i="3"/>
  <c r="P39" i="3"/>
  <c r="I40" i="3"/>
  <c r="V39" i="3"/>
  <c r="G40" i="3"/>
  <c r="U39" i="3"/>
  <c r="R40" i="4" l="1"/>
  <c r="J40" i="3"/>
  <c r="T40" i="3" s="1"/>
  <c r="G41" i="3"/>
  <c r="I41" i="3"/>
  <c r="J41" i="3"/>
  <c r="T41" i="3" s="1"/>
  <c r="R42" i="4" l="1"/>
  <c r="R41" i="4"/>
  <c r="V40" i="3"/>
  <c r="P40" i="3"/>
  <c r="S40" i="3"/>
  <c r="U40" i="3"/>
  <c r="O40" i="3"/>
  <c r="N40" i="3"/>
  <c r="R40" i="3"/>
  <c r="Q40" i="3"/>
  <c r="Q41" i="3"/>
  <c r="S41" i="3"/>
  <c r="R41" i="3"/>
  <c r="N41" i="3"/>
  <c r="O41" i="3"/>
  <c r="P41" i="3"/>
  <c r="I42" i="3"/>
  <c r="V41" i="3"/>
  <c r="G42" i="3"/>
  <c r="U41" i="3"/>
  <c r="J42" i="3" l="1"/>
  <c r="T42" i="3" s="1"/>
  <c r="V42" i="3" l="1"/>
  <c r="Q42" i="3"/>
  <c r="S42" i="3"/>
  <c r="R42" i="3"/>
  <c r="N42" i="3"/>
  <c r="O42" i="3"/>
  <c r="P42" i="3"/>
  <c r="U42" i="3"/>
</calcChain>
</file>

<file path=xl/sharedStrings.xml><?xml version="1.0" encoding="utf-8"?>
<sst xmlns="http://schemas.openxmlformats.org/spreadsheetml/2006/main" count="53" uniqueCount="30">
  <si>
    <t>煤</t>
    <phoneticPr fontId="1" type="noConversion"/>
  </si>
  <si>
    <t>石油</t>
    <phoneticPr fontId="1" type="noConversion"/>
  </si>
  <si>
    <t>天然气</t>
    <phoneticPr fontId="1" type="noConversion"/>
  </si>
  <si>
    <t>水能</t>
    <phoneticPr fontId="1" type="noConversion"/>
  </si>
  <si>
    <t>风能</t>
    <phoneticPr fontId="1" type="noConversion"/>
  </si>
  <si>
    <t>太阳能</t>
    <phoneticPr fontId="1" type="noConversion"/>
  </si>
  <si>
    <t>核能</t>
    <phoneticPr fontId="1" type="noConversion"/>
  </si>
  <si>
    <t>生物质能</t>
    <phoneticPr fontId="1" type="noConversion"/>
  </si>
  <si>
    <t>其他可再生</t>
    <phoneticPr fontId="1" type="noConversion"/>
  </si>
  <si>
    <t>总和</t>
    <phoneticPr fontId="1" type="noConversion"/>
  </si>
  <si>
    <t>预计</t>
    <phoneticPr fontId="1" type="noConversion"/>
  </si>
  <si>
    <t>水</t>
    <phoneticPr fontId="1" type="noConversion"/>
  </si>
  <si>
    <t>风</t>
    <phoneticPr fontId="1" type="noConversion"/>
  </si>
  <si>
    <t>太阳</t>
    <phoneticPr fontId="1" type="noConversion"/>
  </si>
  <si>
    <t>核</t>
    <phoneticPr fontId="1" type="noConversion"/>
  </si>
  <si>
    <t>生物质</t>
    <phoneticPr fontId="1" type="noConversion"/>
  </si>
  <si>
    <t>其他</t>
    <phoneticPr fontId="1" type="noConversion"/>
  </si>
  <si>
    <t>年份</t>
    <phoneticPr fontId="1" type="noConversion"/>
  </si>
  <si>
    <t>煤</t>
  </si>
  <si>
    <t>石油</t>
  </si>
  <si>
    <t>天然气</t>
  </si>
  <si>
    <t>水能</t>
  </si>
  <si>
    <t>风能</t>
  </si>
  <si>
    <t>太阳能</t>
  </si>
  <si>
    <t>核能</t>
  </si>
  <si>
    <t>生物质能</t>
  </si>
  <si>
    <t>其他可再生</t>
  </si>
  <si>
    <t>总计</t>
    <phoneticPr fontId="1" type="noConversion"/>
  </si>
  <si>
    <t>总计</t>
  </si>
  <si>
    <t>年份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</si>
</sst>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81D7-06CB-470C-B2A8-7C4F8D2FF6CF}">
  <dimension ref="A1:K41"/>
  <sheetViews>
    <sheetView tabSelected="1" workbookViewId="0">
      <selection activeCell="K2" sqref="K2:K41"/>
    </sheetView>
  </sheetViews>
  <sheetFormatPr defaultRowHeight="14" x14ac:dyDescent="0.3"/>
  <cols>
    <col min="10" max="10" width="11.1640625" customWidth="1"/>
    <col min="11" max="11" width="10.6640625" customWidth="1"/>
    <col min="12" max="12" width="9.1640625" bestFit="1" customWidth="1"/>
  </cols>
  <sheetData>
    <row r="1" spans="1:11" x14ac:dyDescent="0.3">
      <c r="A1" t="s">
        <v>29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25</v>
      </c>
      <c r="I1" t="s">
        <v>24</v>
      </c>
      <c r="J1" t="s">
        <v>26</v>
      </c>
      <c r="K1" t="s">
        <v>28</v>
      </c>
    </row>
    <row r="2" spans="1:11" x14ac:dyDescent="0.3">
      <c r="A2">
        <v>2021</v>
      </c>
      <c r="B2">
        <v>288180.17233489337</v>
      </c>
      <c r="C2">
        <v>97291.877312614539</v>
      </c>
      <c r="D2">
        <v>42891.532173114349</v>
      </c>
      <c r="E2">
        <v>40006.651407844736</v>
      </c>
      <c r="F2">
        <v>13161.013738654648</v>
      </c>
      <c r="G2">
        <v>11683.481443708401</v>
      </c>
      <c r="H2">
        <v>12983.3925371362</v>
      </c>
      <c r="I2">
        <v>6281.7296599449246</v>
      </c>
      <c r="J2">
        <v>2904.0448818146883</v>
      </c>
      <c r="K2">
        <v>516563.89548972598</v>
      </c>
    </row>
    <row r="3" spans="1:11" x14ac:dyDescent="0.3">
      <c r="A3">
        <v>2022</v>
      </c>
      <c r="B3">
        <v>291493.51135505561</v>
      </c>
      <c r="C3">
        <v>99584.181665625583</v>
      </c>
      <c r="D3">
        <v>44351.996928505549</v>
      </c>
      <c r="E3">
        <v>42025.56777076752</v>
      </c>
      <c r="F3">
        <v>15979.773437363945</v>
      </c>
      <c r="G3">
        <v>15239.321643818699</v>
      </c>
      <c r="H3">
        <v>14043.234654818994</v>
      </c>
      <c r="I3">
        <v>7084.0485652269326</v>
      </c>
      <c r="J3">
        <v>3585.3682660206546</v>
      </c>
      <c r="K3">
        <v>535187.00428720354</v>
      </c>
    </row>
    <row r="4" spans="1:11" x14ac:dyDescent="0.3">
      <c r="A4">
        <v>2023</v>
      </c>
      <c r="B4">
        <v>294308.41389795108</v>
      </c>
      <c r="C4">
        <v>101807.63810146949</v>
      </c>
      <c r="D4">
        <v>45810.94876346652</v>
      </c>
      <c r="E4">
        <v>44087.709004890305</v>
      </c>
      <c r="F4">
        <v>19003.829698578287</v>
      </c>
      <c r="G4">
        <v>19868.261111252301</v>
      </c>
      <c r="H4">
        <v>15148.967645912895</v>
      </c>
      <c r="I4">
        <v>7930.8157458089399</v>
      </c>
      <c r="J4">
        <v>4308.5356588066206</v>
      </c>
      <c r="K4">
        <v>553875.11962813628</v>
      </c>
    </row>
    <row r="5" spans="1:11" x14ac:dyDescent="0.3">
      <c r="A5">
        <v>2024</v>
      </c>
      <c r="B5">
        <v>296692.90257089084</v>
      </c>
      <c r="C5">
        <v>103951.20261483589</v>
      </c>
      <c r="D5">
        <v>47268.311508293918</v>
      </c>
      <c r="E5">
        <v>46196.009194693084</v>
      </c>
      <c r="F5">
        <v>22161.645273971331</v>
      </c>
      <c r="G5">
        <v>25910.353228546501</v>
      </c>
      <c r="H5">
        <v>16288.162366312705</v>
      </c>
      <c r="I5">
        <v>8811.1840583509475</v>
      </c>
      <c r="J5">
        <v>5076.0205802325872</v>
      </c>
      <c r="K5">
        <v>572636.79139612778</v>
      </c>
    </row>
    <row r="6" spans="1:11" x14ac:dyDescent="0.3">
      <c r="A6">
        <v>2025</v>
      </c>
      <c r="B6">
        <v>298581.19001390168</v>
      </c>
      <c r="C6">
        <v>106036.40428452363</v>
      </c>
      <c r="D6">
        <v>48724.824637592123</v>
      </c>
      <c r="E6">
        <v>48351.325180255873</v>
      </c>
      <c r="F6">
        <v>25473.115807444301</v>
      </c>
      <c r="G6">
        <v>31179.345367050308</v>
      </c>
      <c r="H6">
        <v>17473.040802797339</v>
      </c>
      <c r="I6">
        <v>9733.2671151729573</v>
      </c>
      <c r="J6">
        <v>5883.3142728585535</v>
      </c>
      <c r="K6">
        <v>591435.82748159661</v>
      </c>
    </row>
    <row r="7" spans="1:11" x14ac:dyDescent="0.3">
      <c r="A7">
        <v>2026</v>
      </c>
      <c r="B7">
        <v>294932.90536132059</v>
      </c>
      <c r="C7">
        <v>106211.81252013201</v>
      </c>
      <c r="D7">
        <v>49333.286769926235</v>
      </c>
      <c r="E7">
        <v>49691.010196700212</v>
      </c>
      <c r="F7">
        <v>28446.270364852273</v>
      </c>
      <c r="G7">
        <v>35805.40256620077</v>
      </c>
      <c r="H7">
        <v>18384.484023763347</v>
      </c>
      <c r="I7">
        <v>10519.555210685725</v>
      </c>
      <c r="J7">
        <v>6609.4280394469433</v>
      </c>
      <c r="K7">
        <v>599934.15505302814</v>
      </c>
    </row>
    <row r="8" spans="1:11" x14ac:dyDescent="0.3">
      <c r="A8">
        <v>2027</v>
      </c>
      <c r="B8">
        <v>291205.19757417752</v>
      </c>
      <c r="C8">
        <v>106374.06905478735</v>
      </c>
      <c r="D8">
        <v>49941.295216531107</v>
      </c>
      <c r="E8">
        <v>51045.044050424542</v>
      </c>
      <c r="F8">
        <v>31505.196530628655</v>
      </c>
      <c r="G8">
        <v>40511.528961767457</v>
      </c>
      <c r="H8">
        <v>19311.358863220881</v>
      </c>
      <c r="I8">
        <v>11320.235983618493</v>
      </c>
      <c r="J8">
        <v>7346.937975435334</v>
      </c>
      <c r="K8">
        <v>608560.8642105913</v>
      </c>
    </row>
    <row r="9" spans="1:11" x14ac:dyDescent="0.3">
      <c r="A9">
        <v>2028</v>
      </c>
      <c r="B9">
        <v>287172.16238182888</v>
      </c>
      <c r="C9">
        <v>106507.14175635394</v>
      </c>
      <c r="D9">
        <v>50549.202134115578</v>
      </c>
      <c r="E9">
        <v>52418.872112708872</v>
      </c>
      <c r="F9">
        <v>34642.724207705112</v>
      </c>
      <c r="G9">
        <v>45357.759133759071</v>
      </c>
      <c r="H9">
        <v>20262.463004389705</v>
      </c>
      <c r="I9">
        <v>12128.535681491261</v>
      </c>
      <c r="J9">
        <v>8106.024808743724</v>
      </c>
      <c r="K9">
        <v>617144.8852210961</v>
      </c>
    </row>
    <row r="10" spans="1:11" x14ac:dyDescent="0.3">
      <c r="A10">
        <v>2029</v>
      </c>
      <c r="B10">
        <v>282772.86896184913</v>
      </c>
      <c r="C10">
        <v>106520.69302077778</v>
      </c>
      <c r="D10">
        <v>51122.753562437145</v>
      </c>
      <c r="E10">
        <v>53775.960248157193</v>
      </c>
      <c r="F10">
        <v>37797.428665763742</v>
      </c>
      <c r="G10">
        <v>50231.832753331342</v>
      </c>
      <c r="H10">
        <v>21214.036336687859</v>
      </c>
      <c r="I10">
        <v>12954.733933770725</v>
      </c>
      <c r="J10">
        <v>8881.5849338337775</v>
      </c>
      <c r="K10">
        <v>625271.89241660875</v>
      </c>
    </row>
    <row r="11" spans="1:11" x14ac:dyDescent="0.3">
      <c r="A11">
        <v>2030</v>
      </c>
      <c r="B11">
        <v>278310.24316498754</v>
      </c>
      <c r="C11">
        <v>106525.2628620288</v>
      </c>
      <c r="D11">
        <v>51721.097381380023</v>
      </c>
      <c r="E11">
        <v>55176.963019332521</v>
      </c>
      <c r="F11">
        <v>41028.155632420989</v>
      </c>
      <c r="G11">
        <v>55203.486621284334</v>
      </c>
      <c r="H11">
        <v>22192.772090953011</v>
      </c>
      <c r="I11">
        <v>13802.173472795166</v>
      </c>
      <c r="J11">
        <v>9680.6120572025829</v>
      </c>
      <c r="K11">
        <v>633640.7663023849</v>
      </c>
    </row>
    <row r="12" spans="1:11" x14ac:dyDescent="0.3">
      <c r="A12">
        <v>2031</v>
      </c>
      <c r="B12">
        <v>270636.84778484039</v>
      </c>
      <c r="C12">
        <v>104117.94364242206</v>
      </c>
      <c r="D12">
        <v>51739.017538943634</v>
      </c>
      <c r="E12">
        <v>55973.587181277537</v>
      </c>
      <c r="F12">
        <v>43891.99623906448</v>
      </c>
      <c r="G12">
        <v>59659.909248787109</v>
      </c>
      <c r="H12">
        <v>22925.107960904777</v>
      </c>
      <c r="I12">
        <v>14497.117427036796</v>
      </c>
      <c r="J12">
        <v>10375.378059900504</v>
      </c>
      <c r="K12">
        <v>633816.90508317726</v>
      </c>
    </row>
    <row r="13" spans="1:11" x14ac:dyDescent="0.3">
      <c r="A13">
        <v>2032</v>
      </c>
      <c r="B13">
        <v>262940.23787288764</v>
      </c>
      <c r="C13">
        <v>101691.08826685844</v>
      </c>
      <c r="D13">
        <v>51756.705892219288</v>
      </c>
      <c r="E13">
        <v>56768.426369622561</v>
      </c>
      <c r="F13">
        <v>46761.478358045388</v>
      </c>
      <c r="G13">
        <v>64094.964590128511</v>
      </c>
      <c r="H13">
        <v>23656.567055497166</v>
      </c>
      <c r="I13">
        <v>15197.989161928424</v>
      </c>
      <c r="J13">
        <v>11068.497279548425</v>
      </c>
      <c r="K13">
        <v>633935.95484673581</v>
      </c>
    </row>
    <row r="14" spans="1:11" x14ac:dyDescent="0.3">
      <c r="A14">
        <v>2033</v>
      </c>
      <c r="B14">
        <v>255359.3240332467</v>
      </c>
      <c r="C14">
        <v>99284.725451038714</v>
      </c>
      <c r="D14">
        <v>51775.009079163137</v>
      </c>
      <c r="E14">
        <v>57565.265474367581</v>
      </c>
      <c r="F14">
        <v>49646.619984387449</v>
      </c>
      <c r="G14">
        <v>68604.421338790358</v>
      </c>
      <c r="H14">
        <v>24391.600793609188</v>
      </c>
      <c r="I14">
        <v>15895.876012720055</v>
      </c>
      <c r="J14">
        <v>11757.381569596346</v>
      </c>
      <c r="K14">
        <v>634280.22373691946</v>
      </c>
    </row>
    <row r="15" spans="1:11" x14ac:dyDescent="0.3">
      <c r="A15">
        <v>2034</v>
      </c>
      <c r="B15">
        <v>247669.51932079229</v>
      </c>
      <c r="C15">
        <v>96881.626586813334</v>
      </c>
      <c r="D15">
        <v>51792.67150114636</v>
      </c>
      <c r="E15">
        <v>58364.385332112608</v>
      </c>
      <c r="F15">
        <v>52470.880694084335</v>
      </c>
      <c r="G15">
        <v>73087.283705960566</v>
      </c>
      <c r="H15">
        <v>25136.491410791816</v>
      </c>
      <c r="I15">
        <v>16591.133436161686</v>
      </c>
      <c r="J15">
        <v>12450.952988794266</v>
      </c>
      <c r="K15">
        <v>634444.94497665728</v>
      </c>
    </row>
    <row r="16" spans="1:11" x14ac:dyDescent="0.3">
      <c r="A16">
        <v>2035</v>
      </c>
      <c r="B16">
        <v>239851.27043174312</v>
      </c>
      <c r="C16">
        <v>94366.704054515183</v>
      </c>
      <c r="D16">
        <v>51769.460831480836</v>
      </c>
      <c r="E16">
        <v>59113.869788112606</v>
      </c>
      <c r="F16">
        <v>55222.633312177219</v>
      </c>
      <c r="G16">
        <v>77532.592622999422</v>
      </c>
      <c r="H16">
        <v>25849.813944848735</v>
      </c>
      <c r="I16">
        <v>17275.539327561684</v>
      </c>
      <c r="J16">
        <v>13145.619634544266</v>
      </c>
      <c r="K16">
        <v>634127.50394798303</v>
      </c>
    </row>
    <row r="17" spans="1:11" x14ac:dyDescent="0.3">
      <c r="A17">
        <v>2036</v>
      </c>
      <c r="B17">
        <v>231793.95314187833</v>
      </c>
      <c r="C17">
        <v>91780.898370058116</v>
      </c>
      <c r="D17">
        <v>51664.102210681478</v>
      </c>
      <c r="E17">
        <v>59817.46073036758</v>
      </c>
      <c r="F17">
        <v>57941.749440792075</v>
      </c>
      <c r="G17">
        <v>81908.026718165871</v>
      </c>
      <c r="H17">
        <v>26550.72031938587</v>
      </c>
      <c r="I17">
        <v>17956.463999320058</v>
      </c>
      <c r="J17">
        <v>13819.490673596347</v>
      </c>
      <c r="K17">
        <v>633232.8656042458</v>
      </c>
    </row>
    <row r="18" spans="1:11" x14ac:dyDescent="0.3">
      <c r="A18">
        <v>2037</v>
      </c>
      <c r="B18">
        <v>223216.4322261748</v>
      </c>
      <c r="C18">
        <v>89009.551443136123</v>
      </c>
      <c r="D18">
        <v>51432.694835822505</v>
      </c>
      <c r="E18">
        <v>60380.105441787491</v>
      </c>
      <c r="F18">
        <v>60563.404900026828</v>
      </c>
      <c r="G18">
        <v>86012.779330021032</v>
      </c>
      <c r="H18">
        <v>27179.317723021642</v>
      </c>
      <c r="I18">
        <v>18581.329343153539</v>
      </c>
      <c r="J18">
        <v>14460.326335004665</v>
      </c>
      <c r="K18">
        <v>630835.94157814851</v>
      </c>
    </row>
    <row r="19" spans="1:11" x14ac:dyDescent="0.3">
      <c r="A19">
        <v>2038</v>
      </c>
      <c r="B19">
        <v>214728.70862907553</v>
      </c>
      <c r="C19">
        <v>86239.254186189966</v>
      </c>
      <c r="D19">
        <v>51202.834195533345</v>
      </c>
      <c r="E19">
        <v>60928.641386007395</v>
      </c>
      <c r="F19">
        <v>63122.563653675468</v>
      </c>
      <c r="G19">
        <v>90100.169227055725</v>
      </c>
      <c r="H19">
        <v>27801.998611389965</v>
      </c>
      <c r="I19">
        <v>19212.707012587023</v>
      </c>
      <c r="J19">
        <v>15104.620878212983</v>
      </c>
      <c r="K19">
        <v>628441.49777972745</v>
      </c>
    </row>
    <row r="20" spans="1:11" x14ac:dyDescent="0.3">
      <c r="A20">
        <v>2039</v>
      </c>
      <c r="B20">
        <v>206550.86404158958</v>
      </c>
      <c r="C20">
        <v>83638.440690666219</v>
      </c>
      <c r="D20">
        <v>51054.727365101382</v>
      </c>
      <c r="E20">
        <v>61577.552383317357</v>
      </c>
      <c r="F20">
        <v>65782.345347947004</v>
      </c>
      <c r="G20">
        <v>94305.849090050222</v>
      </c>
      <c r="H20">
        <v>28466.800043542509</v>
      </c>
      <c r="I20">
        <v>19867.460914303763</v>
      </c>
      <c r="J20">
        <v>15757.480972917143</v>
      </c>
      <c r="K20">
        <v>627001.52084943524</v>
      </c>
    </row>
    <row r="21" spans="1:11" x14ac:dyDescent="0.3">
      <c r="A21">
        <v>2040</v>
      </c>
      <c r="B21">
        <v>198408.41432018831</v>
      </c>
      <c r="C21">
        <v>81050.854729867133</v>
      </c>
      <c r="D21">
        <v>50906.631500253432</v>
      </c>
      <c r="E21">
        <v>62228.696107827309</v>
      </c>
      <c r="F21">
        <v>68420.283836647868</v>
      </c>
      <c r="G21">
        <v>98528.601768652807</v>
      </c>
      <c r="H21">
        <v>29128.908508651624</v>
      </c>
      <c r="I21">
        <v>20510.871237620504</v>
      </c>
      <c r="J21">
        <v>16417.8657914213</v>
      </c>
      <c r="K21">
        <v>625601.12780113029</v>
      </c>
    </row>
    <row r="22" spans="1:11" x14ac:dyDescent="0.3">
      <c r="A22">
        <v>2041</v>
      </c>
      <c r="B22">
        <v>189879.57051457229</v>
      </c>
      <c r="C22">
        <v>78288.841135744951</v>
      </c>
      <c r="D22">
        <v>50644.909790766978</v>
      </c>
      <c r="E22">
        <v>62726.585187771205</v>
      </c>
      <c r="F22">
        <v>70866.17131115419</v>
      </c>
      <c r="G22">
        <v>102538.79288372051</v>
      </c>
      <c r="H22">
        <v>29731.150660018571</v>
      </c>
      <c r="I22">
        <v>21113.49944598068</v>
      </c>
      <c r="J22">
        <v>17032.259693751283</v>
      </c>
      <c r="K22">
        <v>622821.78062348056</v>
      </c>
    </row>
    <row r="23" spans="1:11" x14ac:dyDescent="0.3">
      <c r="A23">
        <v>2042</v>
      </c>
      <c r="B23">
        <v>181472.38739110107</v>
      </c>
      <c r="C23">
        <v>75514.68261673901</v>
      </c>
      <c r="D23">
        <v>50381.612172890505</v>
      </c>
      <c r="E23">
        <v>63218.918534595097</v>
      </c>
      <c r="F23">
        <v>73339.656749569316</v>
      </c>
      <c r="G23">
        <v>106493.58732244845</v>
      </c>
      <c r="H23">
        <v>30318.746090703487</v>
      </c>
      <c r="I23">
        <v>21701.414442420861</v>
      </c>
      <c r="J23">
        <v>17633.877046801266</v>
      </c>
      <c r="K23">
        <v>620074.88236726914</v>
      </c>
    </row>
    <row r="24" spans="1:11" x14ac:dyDescent="0.3">
      <c r="A24">
        <v>2043</v>
      </c>
      <c r="B24">
        <v>173029.47060255881</v>
      </c>
      <c r="C24">
        <v>72790.318584640379</v>
      </c>
      <c r="D24">
        <v>50121.062595156298</v>
      </c>
      <c r="E24">
        <v>63714.277828298982</v>
      </c>
      <c r="F24">
        <v>75825.46437603698</v>
      </c>
      <c r="G24">
        <v>110405.23805667316</v>
      </c>
      <c r="H24">
        <v>30909.597103744272</v>
      </c>
      <c r="I24">
        <v>22285.818372621034</v>
      </c>
      <c r="J24">
        <v>18232.327095051245</v>
      </c>
      <c r="K24">
        <v>617313.5746147813</v>
      </c>
    </row>
    <row r="25" spans="1:11" x14ac:dyDescent="0.3">
      <c r="A25">
        <v>2044</v>
      </c>
      <c r="B25">
        <v>164684.16622354422</v>
      </c>
      <c r="C25">
        <v>70076.795254721525</v>
      </c>
      <c r="D25">
        <v>49859.298309160251</v>
      </c>
      <c r="E25">
        <v>64202.980663442868</v>
      </c>
      <c r="F25">
        <v>78262.432779930154</v>
      </c>
      <c r="G25">
        <v>114319.92943819067</v>
      </c>
      <c r="H25">
        <v>31492.070012870747</v>
      </c>
      <c r="I25">
        <v>22869.129742341214</v>
      </c>
      <c r="J25">
        <v>18828.604407461225</v>
      </c>
      <c r="K25">
        <v>614595.40683166287</v>
      </c>
    </row>
    <row r="26" spans="1:11" x14ac:dyDescent="0.3">
      <c r="A26">
        <v>2045</v>
      </c>
      <c r="B26">
        <v>156434.79575612932</v>
      </c>
      <c r="C26">
        <v>67358.727592532741</v>
      </c>
      <c r="D26">
        <v>49600.623493452615</v>
      </c>
      <c r="E26">
        <v>64686.278051546782</v>
      </c>
      <c r="F26">
        <v>80706.273781680764</v>
      </c>
      <c r="G26">
        <v>118186.9145562793</v>
      </c>
      <c r="H26">
        <v>32067.688846587374</v>
      </c>
      <c r="I26">
        <v>23443.522815421398</v>
      </c>
      <c r="J26">
        <v>19421.066506271211</v>
      </c>
      <c r="K26">
        <v>611905.89139990159</v>
      </c>
    </row>
    <row r="27" spans="1:11" x14ac:dyDescent="0.3">
      <c r="A27">
        <v>2046</v>
      </c>
      <c r="B27">
        <v>147968.73774155171</v>
      </c>
      <c r="C27">
        <v>64566.890769253972</v>
      </c>
      <c r="D27">
        <v>49242.815907069307</v>
      </c>
      <c r="E27">
        <v>65028.586359782617</v>
      </c>
      <c r="F27">
        <v>82895.984300327415</v>
      </c>
      <c r="G27">
        <v>121716.45484458806</v>
      </c>
      <c r="H27">
        <v>32578.442498562355</v>
      </c>
      <c r="I27">
        <v>23969.640241841666</v>
      </c>
      <c r="J27">
        <v>19967.067914766183</v>
      </c>
      <c r="K27">
        <v>607934.62057774328</v>
      </c>
    </row>
    <row r="28" spans="1:11" x14ac:dyDescent="0.3">
      <c r="A28">
        <v>2047</v>
      </c>
      <c r="B28">
        <v>139500.40892473821</v>
      </c>
      <c r="C28">
        <v>61779.943554028396</v>
      </c>
      <c r="D28">
        <v>48884.746897641453</v>
      </c>
      <c r="E28">
        <v>65362.404882098461</v>
      </c>
      <c r="F28">
        <v>85134.552242437392</v>
      </c>
      <c r="G28">
        <v>125217.71450855059</v>
      </c>
      <c r="H28">
        <v>33070.69193163835</v>
      </c>
      <c r="I28">
        <v>24486.276946021935</v>
      </c>
      <c r="J28">
        <v>20502.533107901156</v>
      </c>
      <c r="K28">
        <v>603939.272995056</v>
      </c>
    </row>
    <row r="29" spans="1:11" x14ac:dyDescent="0.3">
      <c r="A29">
        <v>2048</v>
      </c>
      <c r="B29">
        <v>131136.8983185096</v>
      </c>
      <c r="C29">
        <v>59016.414106322016</v>
      </c>
      <c r="D29">
        <v>48527.294953864388</v>
      </c>
      <c r="E29">
        <v>65693.532827294301</v>
      </c>
      <c r="F29">
        <v>87293.399383919459</v>
      </c>
      <c r="G29">
        <v>128673.88127517453</v>
      </c>
      <c r="H29">
        <v>33555.190567893871</v>
      </c>
      <c r="I29">
        <v>25001.788739602205</v>
      </c>
      <c r="J29">
        <v>21039.203114316129</v>
      </c>
      <c r="K29">
        <v>599937.60328689648</v>
      </c>
    </row>
    <row r="30" spans="1:11" x14ac:dyDescent="0.3">
      <c r="A30">
        <v>2049</v>
      </c>
      <c r="B30">
        <v>122932.29490187137</v>
      </c>
      <c r="C30">
        <v>56306.110958305668</v>
      </c>
      <c r="D30">
        <v>48174.057986806816</v>
      </c>
      <c r="E30">
        <v>66009.681178250146</v>
      </c>
      <c r="F30">
        <v>89382.872231106128</v>
      </c>
      <c r="G30">
        <v>132050.64882198052</v>
      </c>
      <c r="H30">
        <v>34041.131011972058</v>
      </c>
      <c r="I30">
        <v>25502.013763662471</v>
      </c>
      <c r="J30">
        <v>21569.069661211102</v>
      </c>
      <c r="K30">
        <v>595967.88051516621</v>
      </c>
    </row>
    <row r="31" spans="1:11" x14ac:dyDescent="0.3">
      <c r="A31">
        <v>2050</v>
      </c>
      <c r="B31">
        <v>114835.76140527037</v>
      </c>
      <c r="C31">
        <v>53599.590150276868</v>
      </c>
      <c r="D31">
        <v>47819.680597790168</v>
      </c>
      <c r="E31">
        <v>66318.413507125995</v>
      </c>
      <c r="F31">
        <v>91521.901832648218</v>
      </c>
      <c r="G31">
        <v>135405.63160223301</v>
      </c>
      <c r="H31">
        <v>34507.983433678484</v>
      </c>
      <c r="I31">
        <v>25993.587864122739</v>
      </c>
      <c r="J31">
        <v>22082.683840546073</v>
      </c>
      <c r="K31">
        <v>592085.23423369194</v>
      </c>
    </row>
    <row r="32" spans="1:11" x14ac:dyDescent="0.3">
      <c r="A32">
        <v>2051</v>
      </c>
      <c r="B32">
        <v>107064.32729229954</v>
      </c>
      <c r="C32">
        <v>51051.415193107103</v>
      </c>
      <c r="D32">
        <v>47562.501479401253</v>
      </c>
      <c r="E32">
        <v>66752.481781309878</v>
      </c>
      <c r="F32">
        <v>93724.757910357032</v>
      </c>
      <c r="G32">
        <v>138985.2506764608</v>
      </c>
      <c r="H32">
        <v>35039.359704755334</v>
      </c>
      <c r="I32">
        <v>26529.072027162918</v>
      </c>
      <c r="J32">
        <v>22641.959772276059</v>
      </c>
      <c r="K32">
        <v>589351.12583712989</v>
      </c>
    </row>
    <row r="33" spans="1:11" x14ac:dyDescent="0.3">
      <c r="A33">
        <v>2052</v>
      </c>
      <c r="B33">
        <v>99341.107375490639</v>
      </c>
      <c r="C33">
        <v>48487.567790274727</v>
      </c>
      <c r="D33">
        <v>47306.006890722179</v>
      </c>
      <c r="E33">
        <v>67183.79066509378</v>
      </c>
      <c r="F33">
        <v>95979.137992330056</v>
      </c>
      <c r="G33">
        <v>142583.69666243403</v>
      </c>
      <c r="H33">
        <v>35566.488614122674</v>
      </c>
      <c r="I33">
        <v>27059.882713923096</v>
      </c>
      <c r="J33">
        <v>23195.02178288604</v>
      </c>
      <c r="K33">
        <v>586702.70048727724</v>
      </c>
    </row>
    <row r="34" spans="1:11" x14ac:dyDescent="0.3">
      <c r="A34">
        <v>2053</v>
      </c>
      <c r="B34">
        <v>91661.225797240098</v>
      </c>
      <c r="C34">
        <v>45956.868228548781</v>
      </c>
      <c r="D34">
        <v>47051.549158578615</v>
      </c>
      <c r="E34">
        <v>67612.143215917662</v>
      </c>
      <c r="F34">
        <v>98218.103099733955</v>
      </c>
      <c r="G34">
        <v>146113.41329066869</v>
      </c>
      <c r="H34">
        <v>36088.563993962824</v>
      </c>
      <c r="I34">
        <v>27588.307403883271</v>
      </c>
      <c r="J34">
        <v>23744.25115985602</v>
      </c>
      <c r="K34">
        <v>584034.42534838989</v>
      </c>
    </row>
    <row r="35" spans="1:11" x14ac:dyDescent="0.3">
      <c r="A35">
        <v>2054</v>
      </c>
      <c r="B35">
        <v>83983.331158416084</v>
      </c>
      <c r="C35">
        <v>43431.609224157481</v>
      </c>
      <c r="D35">
        <v>46795.315366375398</v>
      </c>
      <c r="E35">
        <v>68024.216481301555</v>
      </c>
      <c r="F35">
        <v>100456.79479520094</v>
      </c>
      <c r="G35">
        <v>149631.05247458076</v>
      </c>
      <c r="H35">
        <v>36602.410864739541</v>
      </c>
      <c r="I35">
        <v>28112.954758963449</v>
      </c>
      <c r="J35">
        <v>24282.441003265998</v>
      </c>
      <c r="K35">
        <v>581320.12612700125</v>
      </c>
    </row>
    <row r="36" spans="1:11" x14ac:dyDescent="0.3">
      <c r="A36">
        <v>2055</v>
      </c>
      <c r="B36">
        <v>76408.237578609725</v>
      </c>
      <c r="C36">
        <v>40944.88338174126</v>
      </c>
      <c r="D36">
        <v>46542.657175368222</v>
      </c>
      <c r="E36">
        <v>68433.235661245461</v>
      </c>
      <c r="F36">
        <v>102656.93048977989</v>
      </c>
      <c r="G36">
        <v>153049.79943568012</v>
      </c>
      <c r="H36">
        <v>37119.128505179055</v>
      </c>
      <c r="I36">
        <v>28634.309227523634</v>
      </c>
      <c r="J36">
        <v>24819.599980795985</v>
      </c>
      <c r="K36">
        <v>578608.78143592342</v>
      </c>
    </row>
    <row r="37" spans="1:11" x14ac:dyDescent="0.3">
      <c r="A37">
        <v>2056</v>
      </c>
      <c r="B37">
        <v>69009.324608610448</v>
      </c>
      <c r="C37">
        <v>38518.917298017477</v>
      </c>
      <c r="D37">
        <v>46338.580084551795</v>
      </c>
      <c r="E37">
        <v>68910.326866723379</v>
      </c>
      <c r="F37">
        <v>104883.9358747081</v>
      </c>
      <c r="G37">
        <v>156628.14191826293</v>
      </c>
      <c r="H37">
        <v>37663.316293855853</v>
      </c>
      <c r="I37">
        <v>29179.194320733772</v>
      </c>
      <c r="J37">
        <v>25381.767473063472</v>
      </c>
      <c r="K37">
        <v>576513.50473852712</v>
      </c>
    </row>
    <row r="38" spans="1:11" x14ac:dyDescent="0.3">
      <c r="A38">
        <v>2057</v>
      </c>
      <c r="B38">
        <v>61650.214855984872</v>
      </c>
      <c r="C38">
        <v>36100.292979321122</v>
      </c>
      <c r="D38">
        <v>46132.683747952964</v>
      </c>
      <c r="E38">
        <v>69388.118231881293</v>
      </c>
      <c r="F38">
        <v>107121.06764135946</v>
      </c>
      <c r="G38">
        <v>160216.55378118716</v>
      </c>
      <c r="H38">
        <v>38211.782721788499</v>
      </c>
      <c r="I38">
        <v>29716.251068143905</v>
      </c>
      <c r="J38">
        <v>25937.792101130955</v>
      </c>
      <c r="K38">
        <v>574474.75712875021</v>
      </c>
    </row>
    <row r="39" spans="1:11" x14ac:dyDescent="0.3">
      <c r="A39">
        <v>2058</v>
      </c>
      <c r="B39">
        <v>54324.86347431055</v>
      </c>
      <c r="C39">
        <v>33707.133268241028</v>
      </c>
      <c r="D39">
        <v>45928.122278969931</v>
      </c>
      <c r="E39">
        <v>69855.811267519224</v>
      </c>
      <c r="F39">
        <v>109296.31995060145</v>
      </c>
      <c r="G39">
        <v>163755.09016991453</v>
      </c>
      <c r="H39">
        <v>38754.947861880464</v>
      </c>
      <c r="I39">
        <v>30255.975277714038</v>
      </c>
      <c r="J39">
        <v>26491.199855818442</v>
      </c>
      <c r="K39">
        <v>572369.46340496966</v>
      </c>
    </row>
    <row r="40" spans="1:11" x14ac:dyDescent="0.3">
      <c r="A40">
        <v>2059</v>
      </c>
      <c r="B40">
        <v>46987.708307483525</v>
      </c>
      <c r="C40">
        <v>31332.491317503733</v>
      </c>
      <c r="D40">
        <v>45724.694883525342</v>
      </c>
      <c r="E40">
        <v>70327.437537397142</v>
      </c>
      <c r="F40">
        <v>111521.4867295836</v>
      </c>
      <c r="G40">
        <v>167299.09028441584</v>
      </c>
      <c r="H40">
        <v>39295.852707639824</v>
      </c>
      <c r="I40">
        <v>30788.80860548417</v>
      </c>
      <c r="J40">
        <v>27034.57139266593</v>
      </c>
      <c r="K40">
        <v>570312.14176569914</v>
      </c>
    </row>
    <row r="41" spans="1:11" x14ac:dyDescent="0.3">
      <c r="A41">
        <v>2060</v>
      </c>
      <c r="B41">
        <v>39738.079048070722</v>
      </c>
      <c r="C41">
        <v>28975.832722757808</v>
      </c>
      <c r="D41">
        <v>45521.141112747478</v>
      </c>
      <c r="E41">
        <v>70783.393049035061</v>
      </c>
      <c r="F41">
        <v>113680.13107354964</v>
      </c>
      <c r="G41">
        <v>170785.49006265556</v>
      </c>
      <c r="H41">
        <v>39827.939177648346</v>
      </c>
      <c r="I41">
        <v>31316.727027874305</v>
      </c>
      <c r="J41">
        <v>27580.490670533418</v>
      </c>
      <c r="K41">
        <v>568209.22394487227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C0BF8-C905-4ED6-93E1-952BCDD3567A}">
  <dimension ref="A1:A40"/>
  <sheetViews>
    <sheetView workbookViewId="0">
      <selection sqref="A1:A1048576"/>
    </sheetView>
  </sheetViews>
  <sheetFormatPr defaultRowHeight="14" x14ac:dyDescent="0.3"/>
  <sheetData>
    <row r="1" spans="1:1" x14ac:dyDescent="0.3">
      <c r="A1">
        <v>3.6623470273500644E-2</v>
      </c>
    </row>
    <row r="2" spans="1:1" x14ac:dyDescent="0.3">
      <c r="A2">
        <v>3.6051897858293033E-2</v>
      </c>
    </row>
    <row r="3" spans="1:1" x14ac:dyDescent="0.3">
      <c r="A3">
        <v>3.4918851151519964E-2</v>
      </c>
    </row>
    <row r="4" spans="1:1" x14ac:dyDescent="0.3">
      <c r="A4">
        <v>3.3873469132514593E-2</v>
      </c>
    </row>
    <row r="5" spans="1:1" x14ac:dyDescent="0.3">
      <c r="A5">
        <v>3.2828900217248519E-2</v>
      </c>
    </row>
    <row r="6" spans="1:1" x14ac:dyDescent="0.3">
      <c r="A6">
        <v>1.4368976610054896E-2</v>
      </c>
    </row>
    <row r="7" spans="1:1" x14ac:dyDescent="0.3">
      <c r="A7">
        <v>1.43794266169104E-2</v>
      </c>
    </row>
    <row r="8" spans="1:1" x14ac:dyDescent="0.3">
      <c r="A8">
        <v>1.4105443703876296E-2</v>
      </c>
    </row>
    <row r="9" spans="1:1" x14ac:dyDescent="0.3">
      <c r="A9">
        <v>1.3168718383854215E-2</v>
      </c>
    </row>
    <row r="10" spans="1:1" x14ac:dyDescent="0.3">
      <c r="A10">
        <v>1.338437564086137E-2</v>
      </c>
    </row>
    <row r="11" spans="1:1" x14ac:dyDescent="0.3">
      <c r="A11">
        <v>2.7797892774516272E-4</v>
      </c>
    </row>
    <row r="12" spans="1:1" x14ac:dyDescent="0.3">
      <c r="A12">
        <v>1.8782989630566213E-4</v>
      </c>
    </row>
    <row r="13" spans="1:1" x14ac:dyDescent="0.3">
      <c r="A13">
        <v>5.4306572698954161E-4</v>
      </c>
    </row>
    <row r="14" spans="1:1" x14ac:dyDescent="0.3">
      <c r="A14">
        <v>2.5969789625056723E-4</v>
      </c>
    </row>
    <row r="15" spans="1:1" x14ac:dyDescent="0.3">
      <c r="A15">
        <v>-5.0034448408431864E-4</v>
      </c>
    </row>
    <row r="16" spans="1:1" x14ac:dyDescent="0.3">
      <c r="A16">
        <v>-1.4108177585222897E-3</v>
      </c>
    </row>
    <row r="17" spans="1:1" x14ac:dyDescent="0.3">
      <c r="A17">
        <v>-3.7852173446652768E-3</v>
      </c>
    </row>
    <row r="18" spans="1:1" x14ac:dyDescent="0.3">
      <c r="A18">
        <v>-3.7956680027313272E-3</v>
      </c>
    </row>
    <row r="19" spans="1:1" x14ac:dyDescent="0.3">
      <c r="A19">
        <v>-2.2913460288342185E-3</v>
      </c>
    </row>
    <row r="20" spans="1:1" x14ac:dyDescent="0.3">
      <c r="A20">
        <v>-2.2334763182196983E-3</v>
      </c>
    </row>
    <row r="21" spans="1:1" x14ac:dyDescent="0.3">
      <c r="A21">
        <v>-4.4426824923072174E-3</v>
      </c>
    </row>
    <row r="22" spans="1:1" x14ac:dyDescent="0.3">
      <c r="A22">
        <v>-4.4104081483175191E-3</v>
      </c>
    </row>
    <row r="23" spans="1:1" x14ac:dyDescent="0.3">
      <c r="A23">
        <v>-4.4531843346822019E-3</v>
      </c>
    </row>
    <row r="24" spans="1:1" x14ac:dyDescent="0.3">
      <c r="A24">
        <v>-4.4032204942433643E-3</v>
      </c>
    </row>
    <row r="25" spans="1:1" x14ac:dyDescent="0.3">
      <c r="A25">
        <v>-4.3760747344763866E-3</v>
      </c>
    </row>
    <row r="26" spans="1:1" x14ac:dyDescent="0.3">
      <c r="A26">
        <v>-6.4900025934918702E-3</v>
      </c>
    </row>
    <row r="27" spans="1:1" x14ac:dyDescent="0.3">
      <c r="A27">
        <v>-6.5720020664234331E-3</v>
      </c>
    </row>
    <row r="28" spans="1:1" x14ac:dyDescent="0.3">
      <c r="A28">
        <v>-6.6259471557702093E-3</v>
      </c>
    </row>
    <row r="29" spans="1:1" x14ac:dyDescent="0.3">
      <c r="A29">
        <v>-6.6168927401470297E-3</v>
      </c>
    </row>
    <row r="30" spans="1:1" x14ac:dyDescent="0.3">
      <c r="A30">
        <v>-6.5148582808154613E-3</v>
      </c>
    </row>
    <row r="31" spans="1:1" x14ac:dyDescent="0.3">
      <c r="A31">
        <v>-4.617761495269641E-3</v>
      </c>
    </row>
    <row r="32" spans="1:1" x14ac:dyDescent="0.3">
      <c r="A32">
        <v>-4.4937987453417668E-3</v>
      </c>
    </row>
    <row r="33" spans="1:1" x14ac:dyDescent="0.3">
      <c r="A33">
        <v>-4.5479169205651301E-3</v>
      </c>
    </row>
    <row r="34" spans="1:1" x14ac:dyDescent="0.3">
      <c r="A34">
        <v>-4.6474986808688629E-3</v>
      </c>
    </row>
    <row r="35" spans="1:1" x14ac:dyDescent="0.3">
      <c r="A35">
        <v>-4.6641163263036259E-3</v>
      </c>
    </row>
    <row r="36" spans="1:1" x14ac:dyDescent="0.3">
      <c r="A36">
        <v>-3.6212321081551661E-3</v>
      </c>
    </row>
    <row r="37" spans="1:1" x14ac:dyDescent="0.3">
      <c r="A37">
        <v>-3.5363397266844031E-3</v>
      </c>
    </row>
    <row r="38" spans="1:1" x14ac:dyDescent="0.3">
      <c r="A38">
        <v>-3.664727993102595E-3</v>
      </c>
    </row>
    <row r="39" spans="1:1" x14ac:dyDescent="0.3">
      <c r="A39">
        <v>-3.5943944791039647E-3</v>
      </c>
    </row>
    <row r="40" spans="1:1" x14ac:dyDescent="0.3">
      <c r="A40">
        <v>-3.6873102759415058E-3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E313A-6F41-4C9A-B4C7-6956E586B021}">
  <dimension ref="A1:I40"/>
  <sheetViews>
    <sheetView workbookViewId="0">
      <selection sqref="A1:I40"/>
    </sheetView>
  </sheetViews>
  <sheetFormatPr defaultRowHeight="14" x14ac:dyDescent="0.3"/>
  <sheetData>
    <row r="1" spans="1:9" x14ac:dyDescent="0.3">
      <c r="A1">
        <v>1.245411492623201E-2</v>
      </c>
      <c r="B1">
        <v>2.4266476621907718E-2</v>
      </c>
      <c r="C1">
        <v>3.46244449117762E-2</v>
      </c>
      <c r="D1">
        <v>5.119403068661918E-2</v>
      </c>
      <c r="E1">
        <v>0.25562965812843069</v>
      </c>
      <c r="F1">
        <v>0.30681391304246719</v>
      </c>
      <c r="G1">
        <v>8.4319700960984054E-2</v>
      </c>
      <c r="H1">
        <v>0.13735698329346341</v>
      </c>
      <c r="I1">
        <v>0.28588080835541785</v>
      </c>
    </row>
    <row r="2" spans="1:9" x14ac:dyDescent="0.3">
      <c r="A2">
        <v>1.149745658529143E-2</v>
      </c>
      <c r="B2">
        <v>2.3561107220138221E-2</v>
      </c>
      <c r="C2">
        <v>3.4050188496335919E-2</v>
      </c>
      <c r="D2">
        <v>5.0464517570868311E-2</v>
      </c>
      <c r="E2">
        <v>0.21417496818124568</v>
      </c>
      <c r="F2">
        <v>0.30434765675304187</v>
      </c>
      <c r="G2">
        <v>8.1630599602634205E-2</v>
      </c>
      <c r="H2">
        <v>0.12772260964968721</v>
      </c>
      <c r="I2">
        <v>0.23461186446272098</v>
      </c>
    </row>
    <row r="3" spans="1:9" x14ac:dyDescent="0.3">
      <c r="A3">
        <v>9.6568274532421814E-3</v>
      </c>
      <c r="B3">
        <v>2.2327405805367989E-2</v>
      </c>
      <c r="C3">
        <v>3.2894839826778717E-2</v>
      </c>
      <c r="D3">
        <v>4.9068729906777964E-2</v>
      </c>
      <c r="E3">
        <v>0.18924274947124634</v>
      </c>
      <c r="F3">
        <v>0.30374970590053596</v>
      </c>
      <c r="G3">
        <v>7.8737770768108881E-2</v>
      </c>
      <c r="H3">
        <v>0.11953153239779939</v>
      </c>
      <c r="I3">
        <v>0.20169961329763161</v>
      </c>
    </row>
    <row r="4" spans="1:9" x14ac:dyDescent="0.3">
      <c r="A4">
        <v>8.1020064678360513E-3</v>
      </c>
      <c r="B4">
        <v>2.1055046098112481E-2</v>
      </c>
      <c r="C4">
        <v>3.1812542288790602E-2</v>
      </c>
      <c r="D4">
        <v>4.7820588490296072E-2</v>
      </c>
      <c r="E4">
        <v>0.16616732655888231</v>
      </c>
      <c r="F4">
        <v>0.30410774669516943</v>
      </c>
      <c r="G4">
        <v>7.5199495241324771E-2</v>
      </c>
      <c r="H4">
        <v>0.111006022678971</v>
      </c>
      <c r="I4">
        <v>0.17813126830161707</v>
      </c>
    </row>
    <row r="5" spans="1:9" x14ac:dyDescent="0.3">
      <c r="A5">
        <v>6.364451008596856E-3</v>
      </c>
      <c r="B5">
        <v>2.0059428051197366E-2</v>
      </c>
      <c r="C5">
        <v>3.0813732981399972E-2</v>
      </c>
      <c r="D5">
        <v>4.6655891345055579E-2</v>
      </c>
      <c r="E5">
        <v>0.14942349688099485</v>
      </c>
      <c r="F5">
        <v>0.2033547011894358</v>
      </c>
      <c r="G5">
        <v>7.2744758422546699E-2</v>
      </c>
      <c r="H5">
        <v>0.10464916527854054</v>
      </c>
      <c r="I5">
        <v>0.15904066578646051</v>
      </c>
    </row>
    <row r="6" spans="1:9" x14ac:dyDescent="0.3">
      <c r="A6">
        <v>-1.2218735722807014E-2</v>
      </c>
      <c r="B6">
        <v>1.6542265535307598E-3</v>
      </c>
      <c r="C6">
        <v>1.2487723390689692E-2</v>
      </c>
      <c r="D6">
        <v>2.7707307120330905E-2</v>
      </c>
      <c r="E6">
        <v>0.1167173493765962</v>
      </c>
      <c r="F6">
        <v>0.14836928565021074</v>
      </c>
      <c r="G6">
        <v>5.216282793891782E-2</v>
      </c>
      <c r="H6">
        <v>8.0783573101270573E-2</v>
      </c>
      <c r="I6">
        <v>0.12341917037105507</v>
      </c>
    </row>
    <row r="7" spans="1:9" x14ac:dyDescent="0.3">
      <c r="A7">
        <v>-1.2639172229956076E-2</v>
      </c>
      <c r="B7">
        <v>1.52766938822921E-3</v>
      </c>
      <c r="C7">
        <v>1.2324507171809123E-2</v>
      </c>
      <c r="D7">
        <v>2.7249070774863132E-2</v>
      </c>
      <c r="E7">
        <v>0.10753347017175013</v>
      </c>
      <c r="F7">
        <v>0.13143620957383481</v>
      </c>
      <c r="G7">
        <v>5.0416146477620896E-2</v>
      </c>
      <c r="H7">
        <v>7.6113557740486962E-2</v>
      </c>
      <c r="I7">
        <v>0.11158453221469725</v>
      </c>
    </row>
    <row r="8" spans="1:9" x14ac:dyDescent="0.3">
      <c r="A8">
        <v>-1.3849461568491841E-2</v>
      </c>
      <c r="B8">
        <v>1.2509881660919858E-3</v>
      </c>
      <c r="C8">
        <v>1.2172429948978315E-2</v>
      </c>
      <c r="D8">
        <v>2.6914034219016492E-2</v>
      </c>
      <c r="E8">
        <v>9.9587624347184212E-2</v>
      </c>
      <c r="F8">
        <v>0.11962595083896287</v>
      </c>
      <c r="G8">
        <v>4.9251021013349452E-2</v>
      </c>
      <c r="H8">
        <v>7.1403078437804468E-2</v>
      </c>
      <c r="I8">
        <v>0.10332016356289045</v>
      </c>
    </row>
    <row r="9" spans="1:9" x14ac:dyDescent="0.3">
      <c r="A9">
        <v>-1.5319358894301085E-2</v>
      </c>
      <c r="B9">
        <v>1.2723338736132136E-4</v>
      </c>
      <c r="C9">
        <v>1.1346399232965897E-2</v>
      </c>
      <c r="D9">
        <v>2.5889304381261132E-2</v>
      </c>
      <c r="E9">
        <v>9.1063983280996463E-2</v>
      </c>
      <c r="F9">
        <v>0.10745843076591882</v>
      </c>
      <c r="G9">
        <v>4.6962372347922519E-2</v>
      </c>
      <c r="H9">
        <v>6.8120198017002434E-2</v>
      </c>
      <c r="I9">
        <v>9.5676998700211277E-2</v>
      </c>
    </row>
    <row r="10" spans="1:9" x14ac:dyDescent="0.3">
      <c r="A10">
        <v>-1.5781661844876928E-2</v>
      </c>
      <c r="B10">
        <v>4.2900971834019521E-5</v>
      </c>
      <c r="C10">
        <v>1.1704060858382949E-2</v>
      </c>
      <c r="D10">
        <v>2.6052584922894764E-2</v>
      </c>
      <c r="E10">
        <v>8.547478176957532E-2</v>
      </c>
      <c r="F10">
        <v>9.8974168280238084E-2</v>
      </c>
      <c r="G10">
        <v>4.6136234459658768E-2</v>
      </c>
      <c r="H10">
        <v>6.5415433721515051E-2</v>
      </c>
      <c r="I10">
        <v>8.9964474732991337E-2</v>
      </c>
    </row>
    <row r="11" spans="1:9" x14ac:dyDescent="0.3">
      <c r="A11">
        <v>-2.7571372483039432E-2</v>
      </c>
      <c r="B11">
        <v>-2.259857572681789E-2</v>
      </c>
      <c r="C11">
        <v>3.464767468383625E-4</v>
      </c>
      <c r="D11">
        <v>1.4437622485055946E-2</v>
      </c>
      <c r="E11">
        <v>6.9801836385266283E-2</v>
      </c>
      <c r="F11">
        <v>8.0727194970046531E-2</v>
      </c>
      <c r="G11">
        <v>3.2998846063503118E-2</v>
      </c>
      <c r="H11">
        <v>5.0350327476422589E-2</v>
      </c>
      <c r="I11">
        <v>7.176880951251427E-2</v>
      </c>
    </row>
    <row r="12" spans="1:9" x14ac:dyDescent="0.3">
      <c r="A12">
        <v>-2.8438883969235589E-2</v>
      </c>
      <c r="B12">
        <v>-2.3308714047391349E-2</v>
      </c>
      <c r="C12">
        <v>3.4187648156134296E-4</v>
      </c>
      <c r="D12">
        <v>1.4200254590988368E-2</v>
      </c>
      <c r="E12">
        <v>6.5375976598371924E-2</v>
      </c>
      <c r="F12">
        <v>7.4338955542939691E-2</v>
      </c>
      <c r="G12">
        <v>3.190646237478046E-2</v>
      </c>
      <c r="H12">
        <v>4.8345592730353347E-2</v>
      </c>
      <c r="I12">
        <v>6.6804237459715976E-2</v>
      </c>
    </row>
    <row r="13" spans="1:9" x14ac:dyDescent="0.3">
      <c r="A13">
        <v>-2.883131886153445E-2</v>
      </c>
      <c r="B13">
        <v>-2.3663458193159768E-2</v>
      </c>
      <c r="C13">
        <v>3.5363894645777107E-4</v>
      </c>
      <c r="D13">
        <v>1.4036660089126907E-2</v>
      </c>
      <c r="E13">
        <v>6.1699110628004095E-2</v>
      </c>
      <c r="F13">
        <v>7.0355866135486778E-2</v>
      </c>
      <c r="G13">
        <v>3.1071022958980853E-2</v>
      </c>
      <c r="H13">
        <v>4.5919683410478085E-2</v>
      </c>
      <c r="I13">
        <v>6.2238285166387693E-2</v>
      </c>
    </row>
    <row r="14" spans="1:9" x14ac:dyDescent="0.3">
      <c r="A14">
        <v>-3.011366333133475E-2</v>
      </c>
      <c r="B14">
        <v>-2.4204114513167931E-2</v>
      </c>
      <c r="C14">
        <v>3.4113797944906838E-4</v>
      </c>
      <c r="D14">
        <v>1.3881979891169885E-2</v>
      </c>
      <c r="E14">
        <v>5.6887270686001211E-2</v>
      </c>
      <c r="F14">
        <v>6.5343636455038573E-2</v>
      </c>
      <c r="G14">
        <v>3.0538816352627226E-2</v>
      </c>
      <c r="H14">
        <v>4.3738226373008879E-2</v>
      </c>
      <c r="I14">
        <v>5.8990296018923215E-2</v>
      </c>
    </row>
    <row r="15" spans="1:9" x14ac:dyDescent="0.3">
      <c r="A15">
        <v>-3.1567263143603197E-2</v>
      </c>
      <c r="B15">
        <v>-2.5958714989622812E-2</v>
      </c>
      <c r="C15">
        <v>-4.4814582821839735E-4</v>
      </c>
      <c r="D15">
        <v>1.2841469189389805E-2</v>
      </c>
      <c r="E15">
        <v>5.2443423508291169E-2</v>
      </c>
      <c r="F15">
        <v>6.082191992416764E-2</v>
      </c>
      <c r="G15">
        <v>2.8377967409989008E-2</v>
      </c>
      <c r="H15">
        <v>4.1251304139853472E-2</v>
      </c>
      <c r="I15">
        <v>5.5792247097486647E-2</v>
      </c>
    </row>
    <row r="16" spans="1:9" x14ac:dyDescent="0.3">
      <c r="A16">
        <v>-3.3592973159413557E-2</v>
      </c>
      <c r="B16">
        <v>-2.7401674249036612E-2</v>
      </c>
      <c r="C16">
        <v>-2.0351500499941342E-3</v>
      </c>
      <c r="D16">
        <v>1.1902298813745759E-2</v>
      </c>
      <c r="E16">
        <v>4.9239160929604932E-2</v>
      </c>
      <c r="F16">
        <v>5.6433481032188669E-2</v>
      </c>
      <c r="G16">
        <v>2.7114561676634785E-2</v>
      </c>
      <c r="H16">
        <v>3.9415537706079896E-2</v>
      </c>
      <c r="I16">
        <v>5.1262021706551746E-2</v>
      </c>
    </row>
    <row r="17" spans="1:9" x14ac:dyDescent="0.3">
      <c r="A17">
        <v>-3.7004938219649453E-2</v>
      </c>
      <c r="B17">
        <v>-3.0195247335104487E-2</v>
      </c>
      <c r="C17">
        <v>-4.4790747338512632E-3</v>
      </c>
      <c r="D17">
        <v>9.4060280150653833E-3</v>
      </c>
      <c r="E17">
        <v>4.5246398055579909E-2</v>
      </c>
      <c r="F17">
        <v>5.0114168004303711E-2</v>
      </c>
      <c r="G17">
        <v>2.3675342743029303E-2</v>
      </c>
      <c r="H17">
        <v>3.4798908284901842E-2</v>
      </c>
      <c r="I17">
        <v>4.6371872635849416E-2</v>
      </c>
    </row>
    <row r="18" spans="1:9" x14ac:dyDescent="0.3">
      <c r="A18">
        <v>-3.8024636055911255E-2</v>
      </c>
      <c r="B18">
        <v>-3.1123595299948955E-2</v>
      </c>
      <c r="C18">
        <v>-4.4691541250734502E-3</v>
      </c>
      <c r="D18">
        <v>9.0847132545793276E-3</v>
      </c>
      <c r="E18">
        <v>4.2255859918594284E-2</v>
      </c>
      <c r="F18">
        <v>4.7520728069393656E-2</v>
      </c>
      <c r="G18">
        <v>2.2910100051587917E-2</v>
      </c>
      <c r="H18">
        <v>3.3979144213711579E-2</v>
      </c>
      <c r="I18">
        <v>4.4556016806387655E-2</v>
      </c>
    </row>
    <row r="19" spans="1:9" x14ac:dyDescent="0.3">
      <c r="A19">
        <v>-3.8084542303155354E-2</v>
      </c>
      <c r="B19">
        <v>-3.0158116742389825E-2</v>
      </c>
      <c r="C19">
        <v>-2.8925514135872453E-3</v>
      </c>
      <c r="D19">
        <v>1.0650344116469798E-2</v>
      </c>
      <c r="E19">
        <v>4.2136781846576092E-2</v>
      </c>
      <c r="F19">
        <v>4.6677824237999259E-2</v>
      </c>
      <c r="G19">
        <v>2.3912001487554475E-2</v>
      </c>
      <c r="H19">
        <v>3.4079211289059073E-2</v>
      </c>
      <c r="I19">
        <v>4.3222540967304234E-2</v>
      </c>
    </row>
    <row r="20" spans="1:9" x14ac:dyDescent="0.3">
      <c r="A20">
        <v>-3.9421039264022455E-2</v>
      </c>
      <c r="B20">
        <v>-3.0937759473173111E-2</v>
      </c>
      <c r="C20">
        <v>-2.9007277580563751E-3</v>
      </c>
      <c r="D20">
        <v>1.0574368407120381E-2</v>
      </c>
      <c r="E20">
        <v>4.0101010001206819E-2</v>
      </c>
      <c r="F20">
        <v>4.4777208617997673E-2</v>
      </c>
      <c r="G20">
        <v>2.3258970593686718E-2</v>
      </c>
      <c r="H20">
        <v>3.238513094813799E-2</v>
      </c>
      <c r="I20">
        <v>4.1909288650843389E-2</v>
      </c>
    </row>
    <row r="21" spans="1:9" x14ac:dyDescent="0.3">
      <c r="A21">
        <v>-4.2986300933045674E-2</v>
      </c>
      <c r="B21">
        <v>-3.4077538149691874E-2</v>
      </c>
      <c r="C21">
        <v>-5.1412105215633977E-3</v>
      </c>
      <c r="D21">
        <v>8.0009563285911422E-3</v>
      </c>
      <c r="E21">
        <v>3.5747987838604008E-2</v>
      </c>
      <c r="F21">
        <v>4.0700781733244484E-2</v>
      </c>
      <c r="G21">
        <v>2.0675067560052034E-2</v>
      </c>
      <c r="H21">
        <v>2.9380917142849176E-2</v>
      </c>
      <c r="I21">
        <v>3.7422275838740082E-2</v>
      </c>
    </row>
    <row r="22" spans="1:9" x14ac:dyDescent="0.3">
      <c r="A22">
        <v>-4.4276396353161156E-2</v>
      </c>
      <c r="B22">
        <v>-3.5434916122922683E-2</v>
      </c>
      <c r="C22">
        <v>-5.1988959791665866E-3</v>
      </c>
      <c r="D22">
        <v>7.8488785153870422E-3</v>
      </c>
      <c r="E22">
        <v>3.4903613284746546E-2</v>
      </c>
      <c r="F22">
        <v>3.8568763367564686E-2</v>
      </c>
      <c r="G22">
        <v>1.9763628976361629E-2</v>
      </c>
      <c r="H22">
        <v>2.7845454892230108E-2</v>
      </c>
      <c r="I22">
        <v>3.5322227576808397E-2</v>
      </c>
    </row>
    <row r="23" spans="1:9" x14ac:dyDescent="0.3">
      <c r="A23">
        <v>-4.6524525906778712E-2</v>
      </c>
      <c r="B23">
        <v>-3.6077275805099292E-2</v>
      </c>
      <c r="C23">
        <v>-5.1715212454913244E-3</v>
      </c>
      <c r="D23">
        <v>7.8356179635184799E-3</v>
      </c>
      <c r="E23">
        <v>3.3894454059907521E-2</v>
      </c>
      <c r="F23">
        <v>3.6731326576320007E-2</v>
      </c>
      <c r="G23">
        <v>1.948797655658837E-2</v>
      </c>
      <c r="H23">
        <v>2.6929301394189715E-2</v>
      </c>
      <c r="I23">
        <v>3.3937519619857845E-2</v>
      </c>
    </row>
    <row r="24" spans="1:9" x14ac:dyDescent="0.3">
      <c r="A24">
        <v>-4.8230537549198149E-2</v>
      </c>
      <c r="B24">
        <v>-3.7278629667811904E-2</v>
      </c>
      <c r="C24">
        <v>-5.2226403919326302E-3</v>
      </c>
      <c r="D24">
        <v>7.6702248193234041E-3</v>
      </c>
      <c r="E24">
        <v>3.2139182053770914E-2</v>
      </c>
      <c r="F24">
        <v>3.5457478743064881E-2</v>
      </c>
      <c r="G24">
        <v>1.8844403153217285E-2</v>
      </c>
      <c r="H24">
        <v>2.6174105880572042E-2</v>
      </c>
      <c r="I24">
        <v>3.2704399679831679E-2</v>
      </c>
    </row>
    <row r="25" spans="1:9" x14ac:dyDescent="0.3">
      <c r="A25">
        <v>-5.0092068087572626E-2</v>
      </c>
      <c r="B25">
        <v>-3.8786985796209761E-2</v>
      </c>
      <c r="C25">
        <v>-5.1880957911538041E-3</v>
      </c>
      <c r="D25">
        <v>7.5276472074933352E-3</v>
      </c>
      <c r="E25">
        <v>3.122623351899324E-2</v>
      </c>
      <c r="F25">
        <v>3.3825992870118018E-2</v>
      </c>
      <c r="G25">
        <v>1.8278215229464861E-2</v>
      </c>
      <c r="H25">
        <v>2.5116525182710375E-2</v>
      </c>
      <c r="I25">
        <v>3.1466065460231861E-2</v>
      </c>
    </row>
    <row r="26" spans="1:9" x14ac:dyDescent="0.3">
      <c r="A26">
        <v>-5.4118765416970173E-2</v>
      </c>
      <c r="B26">
        <v>-4.1447291584353896E-2</v>
      </c>
      <c r="C26">
        <v>-7.2137719484622748E-3</v>
      </c>
      <c r="D26">
        <v>5.2918226020526159E-3</v>
      </c>
      <c r="E26">
        <v>2.7131850053814348E-2</v>
      </c>
      <c r="F26">
        <v>2.9864053068481101E-2</v>
      </c>
      <c r="G26">
        <v>1.5927360852802309E-2</v>
      </c>
      <c r="H26">
        <v>2.244190988541115E-2</v>
      </c>
      <c r="I26">
        <v>2.8113873577368397E-2</v>
      </c>
    </row>
    <row r="27" spans="1:9" x14ac:dyDescent="0.3">
      <c r="A27">
        <v>-5.7230526840099397E-2</v>
      </c>
      <c r="B27">
        <v>-4.3163720322005807E-2</v>
      </c>
      <c r="C27">
        <v>-7.2714974323076819E-3</v>
      </c>
      <c r="D27">
        <v>5.1334119500757872E-3</v>
      </c>
      <c r="E27">
        <v>2.7004540219943272E-2</v>
      </c>
      <c r="F27">
        <v>2.8765705248588288E-2</v>
      </c>
      <c r="G27">
        <v>1.5109667477127458E-2</v>
      </c>
      <c r="H27">
        <v>2.1553794673915168E-2</v>
      </c>
      <c r="I27">
        <v>2.6817417330412433E-2</v>
      </c>
    </row>
    <row r="28" spans="1:9" x14ac:dyDescent="0.3">
      <c r="A28">
        <v>-5.9953305303504879E-2</v>
      </c>
      <c r="B28">
        <v>-4.4731822153407944E-2</v>
      </c>
      <c r="C28">
        <v>-7.3121365346439189E-3</v>
      </c>
      <c r="D28">
        <v>5.0660306301938043E-3</v>
      </c>
      <c r="E28">
        <v>2.5358060677107042E-2</v>
      </c>
      <c r="F28">
        <v>2.760126057394164E-2</v>
      </c>
      <c r="G28">
        <v>1.4650393080890053E-2</v>
      </c>
      <c r="H28">
        <v>2.1053090051896213E-2</v>
      </c>
      <c r="I28">
        <v>2.6175790259212146E-2</v>
      </c>
    </row>
    <row r="29" spans="1:9" x14ac:dyDescent="0.3">
      <c r="A29">
        <v>-6.2565178236186583E-2</v>
      </c>
      <c r="B29">
        <v>-4.5924565039372874E-2</v>
      </c>
      <c r="C29">
        <v>-7.2791398612553886E-3</v>
      </c>
      <c r="D29">
        <v>4.8124729687926389E-3</v>
      </c>
      <c r="E29">
        <v>2.3936206654034561E-2</v>
      </c>
      <c r="F29">
        <v>2.6242835868023829E-2</v>
      </c>
      <c r="G29">
        <v>1.4481826383759021E-2</v>
      </c>
      <c r="H29">
        <v>2.0007569429139376E-2</v>
      </c>
      <c r="I29">
        <v>2.5184725106552407E-2</v>
      </c>
    </row>
    <row r="30" spans="1:9" x14ac:dyDescent="0.3">
      <c r="A30">
        <v>-6.5861729036002445E-2</v>
      </c>
      <c r="B30">
        <v>-4.8067976316690769E-2</v>
      </c>
      <c r="C30">
        <v>-7.3561872058546546E-3</v>
      </c>
      <c r="D30">
        <v>4.67707650400794E-3</v>
      </c>
      <c r="E30">
        <v>2.3931090466767148E-2</v>
      </c>
      <c r="F30">
        <v>2.5406787548430749E-2</v>
      </c>
      <c r="G30">
        <v>1.3714362826024694E-2</v>
      </c>
      <c r="H30">
        <v>1.9275893465350809E-2</v>
      </c>
      <c r="I30">
        <v>2.3812532826051027E-2</v>
      </c>
    </row>
    <row r="31" spans="1:9" x14ac:dyDescent="0.3">
      <c r="A31">
        <v>-6.7674337835793408E-2</v>
      </c>
      <c r="B31">
        <v>-4.7540941078569106E-2</v>
      </c>
      <c r="C31">
        <v>-5.3781019691879579E-3</v>
      </c>
      <c r="D31">
        <v>6.5452149897590895E-3</v>
      </c>
      <c r="E31">
        <v>2.4069168511563838E-2</v>
      </c>
      <c r="F31">
        <v>2.6436264370031937E-2</v>
      </c>
      <c r="G31">
        <v>1.5398647449165243E-2</v>
      </c>
      <c r="H31">
        <v>2.0600625271098988E-2</v>
      </c>
      <c r="I31">
        <v>2.5326447444902419E-2</v>
      </c>
    </row>
    <row r="32" spans="1:9" x14ac:dyDescent="0.3">
      <c r="A32">
        <v>-7.2136257819315527E-2</v>
      </c>
      <c r="B32">
        <v>-5.0220887964307473E-2</v>
      </c>
      <c r="C32">
        <v>-5.3927901330033806E-3</v>
      </c>
      <c r="D32">
        <v>6.4613160780587642E-3</v>
      </c>
      <c r="E32">
        <v>2.4053197172610723E-2</v>
      </c>
      <c r="F32">
        <v>2.5890847902630579E-2</v>
      </c>
      <c r="G32">
        <v>1.504390815953756E-2</v>
      </c>
      <c r="H32">
        <v>2.0008641320611784E-2</v>
      </c>
      <c r="I32">
        <v>2.4426419628533126E-2</v>
      </c>
    </row>
    <row r="33" spans="1:9" x14ac:dyDescent="0.3">
      <c r="A33">
        <v>-7.7308193769393352E-2</v>
      </c>
      <c r="B33">
        <v>-5.2192751194947214E-2</v>
      </c>
      <c r="C33">
        <v>-5.3789729649210711E-3</v>
      </c>
      <c r="D33">
        <v>6.3758318276381206E-3</v>
      </c>
      <c r="E33">
        <v>2.3327622587971365E-2</v>
      </c>
      <c r="F33">
        <v>2.4755401289610551E-2</v>
      </c>
      <c r="G33">
        <v>1.4678856423089361E-2</v>
      </c>
      <c r="H33">
        <v>1.952797414337221E-2</v>
      </c>
      <c r="I33">
        <v>2.3678760990654316E-2</v>
      </c>
    </row>
    <row r="34" spans="1:9" x14ac:dyDescent="0.3">
      <c r="A34">
        <v>-8.3763822401938623E-2</v>
      </c>
      <c r="B34">
        <v>-5.4948457145358502E-2</v>
      </c>
      <c r="C34">
        <v>-5.4458098996831667E-3</v>
      </c>
      <c r="D34">
        <v>6.0946635587034665E-3</v>
      </c>
      <c r="E34">
        <v>2.2793065889225576E-2</v>
      </c>
      <c r="F34">
        <v>2.4074717746236689E-2</v>
      </c>
      <c r="G34">
        <v>1.423849590863957E-2</v>
      </c>
      <c r="H34">
        <v>1.9017018601377847E-2</v>
      </c>
      <c r="I34">
        <v>2.2666111463640785E-2</v>
      </c>
    </row>
    <row r="35" spans="1:9" x14ac:dyDescent="0.3">
      <c r="A35">
        <v>-9.0197584155332092E-2</v>
      </c>
      <c r="B35">
        <v>-5.7256129506549742E-2</v>
      </c>
      <c r="C35">
        <v>-5.399219751572034E-3</v>
      </c>
      <c r="D35">
        <v>6.0128466170034636E-3</v>
      </c>
      <c r="E35">
        <v>2.1901312888434409E-2</v>
      </c>
      <c r="F35">
        <v>2.2847844110968425E-2</v>
      </c>
      <c r="G35">
        <v>1.4117038419927889E-2</v>
      </c>
      <c r="H35">
        <v>1.8544990131069646E-2</v>
      </c>
      <c r="I35">
        <v>2.2121292396334417E-2</v>
      </c>
    </row>
    <row r="36" spans="1:9" x14ac:dyDescent="0.3">
      <c r="A36">
        <v>-9.6833969797918529E-2</v>
      </c>
      <c r="B36">
        <v>-5.9249554116586022E-2</v>
      </c>
      <c r="C36">
        <v>-4.384732269313376E-3</v>
      </c>
      <c r="D36">
        <v>6.9716300985618977E-3</v>
      </c>
      <c r="E36">
        <v>2.1693668165442798E-2</v>
      </c>
      <c r="F36">
        <v>2.3380249407557219E-2</v>
      </c>
      <c r="G36">
        <v>1.4660575573612134E-2</v>
      </c>
      <c r="H36">
        <v>1.9029098585217057E-2</v>
      </c>
      <c r="I36">
        <v>2.2650143141003894E-2</v>
      </c>
    </row>
    <row r="37" spans="1:9" x14ac:dyDescent="0.3">
      <c r="A37">
        <v>-0.10663935336801374</v>
      </c>
      <c r="B37">
        <v>-6.2790558207637848E-2</v>
      </c>
      <c r="C37">
        <v>-4.443302669679172E-3</v>
      </c>
      <c r="D37">
        <v>6.9335234192400693E-3</v>
      </c>
      <c r="E37">
        <v>2.1329593974465162E-2</v>
      </c>
      <c r="F37">
        <v>2.2910390297529403E-2</v>
      </c>
      <c r="G37">
        <v>1.4562350900101684E-2</v>
      </c>
      <c r="H37">
        <v>1.8405468687958899E-2</v>
      </c>
      <c r="I37">
        <v>2.1906458195142149E-2</v>
      </c>
    </row>
    <row r="38" spans="1:9" x14ac:dyDescent="0.3">
      <c r="A38">
        <v>-0.11882118170693109</v>
      </c>
      <c r="B38">
        <v>-6.6291974761837458E-2</v>
      </c>
      <c r="C38">
        <v>-4.434198324568742E-3</v>
      </c>
      <c r="D38">
        <v>6.740246710178731E-3</v>
      </c>
      <c r="E38">
        <v>2.0306484589237995E-2</v>
      </c>
      <c r="F38">
        <v>2.2085959941193483E-2</v>
      </c>
      <c r="G38">
        <v>1.4214598257470219E-2</v>
      </c>
      <c r="H38">
        <v>1.8162594209224541E-2</v>
      </c>
      <c r="I38">
        <v>2.1335962310506641E-2</v>
      </c>
    </row>
    <row r="39" spans="1:9" x14ac:dyDescent="0.3">
      <c r="A39">
        <v>-0.13506071985430138</v>
      </c>
      <c r="B39">
        <v>-7.0449240872545255E-2</v>
      </c>
      <c r="C39">
        <v>-4.4292556575459318E-3</v>
      </c>
      <c r="D39">
        <v>6.7514249898520456E-3</v>
      </c>
      <c r="E39">
        <v>2.0359027458452927E-2</v>
      </c>
      <c r="F39">
        <v>2.164207604675986E-2</v>
      </c>
      <c r="G39">
        <v>1.39570525984734E-2</v>
      </c>
      <c r="H39">
        <v>1.761084621729599E-2</v>
      </c>
      <c r="I39">
        <v>2.0511397739809936E-2</v>
      </c>
    </row>
    <row r="40" spans="1:9" x14ac:dyDescent="0.3">
      <c r="A40">
        <v>-0.15428778122082165</v>
      </c>
      <c r="B40">
        <v>-7.5214529571397001E-2</v>
      </c>
      <c r="C40">
        <v>-4.4517250753969406E-3</v>
      </c>
      <c r="D40">
        <v>6.4833232605050048E-3</v>
      </c>
      <c r="E40">
        <v>1.9356308880640188E-2</v>
      </c>
      <c r="F40">
        <v>2.0839322989220602E-2</v>
      </c>
      <c r="G40">
        <v>1.3540524847933251E-2</v>
      </c>
      <c r="H40">
        <v>1.7146438797118694E-2</v>
      </c>
      <c r="I40">
        <v>2.019337647112051E-2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0FF53-C4EE-4612-B080-BE445D18C144}">
  <dimension ref="A1:K42"/>
  <sheetViews>
    <sheetView topLeftCell="A22" workbookViewId="0">
      <selection sqref="A1:K42"/>
    </sheetView>
  </sheetViews>
  <sheetFormatPr defaultRowHeight="14" x14ac:dyDescent="0.3"/>
  <cols>
    <col min="2" max="2" width="10.6640625" customWidth="1"/>
    <col min="3" max="3" width="11.25" bestFit="1" customWidth="1"/>
    <col min="4" max="4" width="9.1640625" bestFit="1" customWidth="1"/>
    <col min="10" max="10" width="9.83203125" customWidth="1"/>
    <col min="11" max="11" width="9.1640625" bestFit="1" customWidth="1"/>
    <col min="18" max="18" width="10.1640625" bestFit="1" customWidth="1"/>
  </cols>
  <sheetData>
    <row r="1" spans="1:11" s="2" customFormat="1" x14ac:dyDescent="0.3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25</v>
      </c>
      <c r="I1" s="2" t="s">
        <v>24</v>
      </c>
      <c r="J1" s="2" t="s">
        <v>26</v>
      </c>
      <c r="K1" s="2" t="s">
        <v>28</v>
      </c>
    </row>
    <row r="2" spans="1:11" s="2" customFormat="1" x14ac:dyDescent="0.3">
      <c r="A2" s="3">
        <v>2020</v>
      </c>
      <c r="B2" s="3">
        <v>284635.2917</v>
      </c>
      <c r="C2" s="3">
        <v>94986.880399999995</v>
      </c>
      <c r="D2" s="3">
        <v>41456.136460000002</v>
      </c>
      <c r="E2" s="3">
        <v>38058.293940000003</v>
      </c>
      <c r="F2" s="3">
        <v>10481.60471</v>
      </c>
      <c r="G2" s="3">
        <v>8940.4323960000002</v>
      </c>
      <c r="H2" s="3">
        <v>11973.768</v>
      </c>
      <c r="I2" s="3">
        <v>5523.0941140000004</v>
      </c>
      <c r="J2" s="3">
        <v>2258.409071</v>
      </c>
      <c r="K2" s="2">
        <v>498313.91079099994</v>
      </c>
    </row>
    <row r="3" spans="1:11" x14ac:dyDescent="0.3">
      <c r="A3" s="3">
        <v>2021</v>
      </c>
      <c r="B3" s="3">
        <v>288180.17233489337</v>
      </c>
      <c r="C3" s="3">
        <v>97291.877312614539</v>
      </c>
      <c r="D3" s="3">
        <v>42891.532173114349</v>
      </c>
      <c r="E3" s="3">
        <v>40006.651407844736</v>
      </c>
      <c r="F3" s="3">
        <v>13161.013738654648</v>
      </c>
      <c r="G3" s="3">
        <v>11683.481443708401</v>
      </c>
      <c r="H3" s="3">
        <v>12983.3925371362</v>
      </c>
      <c r="I3" s="3">
        <v>6281.7296599449246</v>
      </c>
      <c r="J3" s="3">
        <v>2904.0448818146883</v>
      </c>
      <c r="K3" s="2">
        <v>516563.89548972598</v>
      </c>
    </row>
    <row r="4" spans="1:11" x14ac:dyDescent="0.3">
      <c r="A4" s="3">
        <v>2022</v>
      </c>
      <c r="B4" s="3">
        <v>291493.51135505561</v>
      </c>
      <c r="C4" s="3">
        <v>99584.181665625583</v>
      </c>
      <c r="D4" s="3">
        <v>44351.996928505549</v>
      </c>
      <c r="E4" s="3">
        <v>42025.56777076752</v>
      </c>
      <c r="F4" s="3">
        <v>15979.773437363945</v>
      </c>
      <c r="G4" s="3">
        <v>15239.321643818699</v>
      </c>
      <c r="H4" s="3">
        <v>14043.234654818994</v>
      </c>
      <c r="I4" s="3">
        <v>7084.0485652269326</v>
      </c>
      <c r="J4" s="3">
        <v>3585.3682660206546</v>
      </c>
      <c r="K4" s="2">
        <v>535187.00428720354</v>
      </c>
    </row>
    <row r="5" spans="1:11" x14ac:dyDescent="0.3">
      <c r="A5" s="3">
        <v>2023</v>
      </c>
      <c r="B5" s="3">
        <v>294308.41389795108</v>
      </c>
      <c r="C5" s="3">
        <v>101807.63810146949</v>
      </c>
      <c r="D5" s="3">
        <v>45810.94876346652</v>
      </c>
      <c r="E5" s="3">
        <v>44087.709004890305</v>
      </c>
      <c r="F5" s="3">
        <v>19003.829698578287</v>
      </c>
      <c r="G5" s="3">
        <v>19868.261111252301</v>
      </c>
      <c r="H5" s="3">
        <v>15148.967645912895</v>
      </c>
      <c r="I5" s="3">
        <v>7930.8157458089399</v>
      </c>
      <c r="J5" s="3">
        <v>4308.5356588066206</v>
      </c>
      <c r="K5" s="2">
        <v>553875.11962813628</v>
      </c>
    </row>
    <row r="6" spans="1:11" x14ac:dyDescent="0.3">
      <c r="A6" s="3">
        <v>2024</v>
      </c>
      <c r="B6" s="3">
        <v>296692.90257089084</v>
      </c>
      <c r="C6" s="3">
        <v>103951.20261483589</v>
      </c>
      <c r="D6" s="3">
        <v>47268.311508293918</v>
      </c>
      <c r="E6" s="3">
        <v>46196.009194693084</v>
      </c>
      <c r="F6" s="3">
        <v>22161.645273971331</v>
      </c>
      <c r="G6" s="3">
        <v>25910.353228546501</v>
      </c>
      <c r="H6" s="3">
        <v>16288.162366312705</v>
      </c>
      <c r="I6" s="3">
        <v>8811.1840583509475</v>
      </c>
      <c r="J6" s="3">
        <v>5076.0205802325872</v>
      </c>
      <c r="K6" s="2">
        <v>572636.79139612778</v>
      </c>
    </row>
    <row r="7" spans="1:11" x14ac:dyDescent="0.3">
      <c r="A7" s="3">
        <v>2025</v>
      </c>
      <c r="B7" s="3">
        <v>298581.19001390168</v>
      </c>
      <c r="C7" s="3">
        <v>106036.40428452363</v>
      </c>
      <c r="D7" s="3">
        <v>48724.824637592123</v>
      </c>
      <c r="E7" s="3">
        <v>48351.325180255873</v>
      </c>
      <c r="F7" s="3">
        <v>25473.115807444301</v>
      </c>
      <c r="G7" s="3">
        <v>31179.345367050308</v>
      </c>
      <c r="H7" s="3">
        <v>17473.040802797339</v>
      </c>
      <c r="I7" s="3">
        <v>9733.2671151729573</v>
      </c>
      <c r="J7" s="3">
        <v>5883.3142728585535</v>
      </c>
      <c r="K7" s="2">
        <v>591435.82748159661</v>
      </c>
    </row>
    <row r="8" spans="1:11" x14ac:dyDescent="0.3">
      <c r="A8" s="3">
        <v>2026</v>
      </c>
      <c r="B8" s="3">
        <v>294932.90536132059</v>
      </c>
      <c r="C8" s="3">
        <v>106211.81252013201</v>
      </c>
      <c r="D8" s="3">
        <v>49333.286769926235</v>
      </c>
      <c r="E8" s="3">
        <v>49691.010196700212</v>
      </c>
      <c r="F8" s="3">
        <v>28446.270364852273</v>
      </c>
      <c r="G8" s="3">
        <v>35805.40256620077</v>
      </c>
      <c r="H8" s="3">
        <v>18384.484023763347</v>
      </c>
      <c r="I8" s="3">
        <v>10519.555210685725</v>
      </c>
      <c r="J8" s="3">
        <v>6609.4280394469433</v>
      </c>
      <c r="K8" s="2">
        <v>599934.15505302814</v>
      </c>
    </row>
    <row r="9" spans="1:11" x14ac:dyDescent="0.3">
      <c r="A9" s="3">
        <v>2027</v>
      </c>
      <c r="B9" s="3">
        <v>291205.19757417752</v>
      </c>
      <c r="C9" s="3">
        <v>106374.06905478735</v>
      </c>
      <c r="D9" s="3">
        <v>49941.295216531107</v>
      </c>
      <c r="E9" s="3">
        <v>51045.044050424542</v>
      </c>
      <c r="F9" s="3">
        <v>31505.196530628655</v>
      </c>
      <c r="G9" s="3">
        <v>40511.528961767457</v>
      </c>
      <c r="H9" s="3">
        <v>19311.358863220881</v>
      </c>
      <c r="I9" s="3">
        <v>11320.235983618493</v>
      </c>
      <c r="J9" s="3">
        <v>7346.937975435334</v>
      </c>
      <c r="K9" s="2">
        <v>608560.8642105913</v>
      </c>
    </row>
    <row r="10" spans="1:11" x14ac:dyDescent="0.3">
      <c r="A10" s="3">
        <v>2028</v>
      </c>
      <c r="B10" s="3">
        <v>287172.16238182888</v>
      </c>
      <c r="C10" s="3">
        <v>106507.14175635394</v>
      </c>
      <c r="D10" s="3">
        <v>50549.202134115578</v>
      </c>
      <c r="E10" s="3">
        <v>52418.872112708872</v>
      </c>
      <c r="F10" s="3">
        <v>34642.724207705112</v>
      </c>
      <c r="G10" s="3">
        <v>45357.759133759071</v>
      </c>
      <c r="H10" s="3">
        <v>20262.463004389705</v>
      </c>
      <c r="I10" s="3">
        <v>12128.535681491261</v>
      </c>
      <c r="J10" s="3">
        <v>8106.024808743724</v>
      </c>
      <c r="K10" s="2">
        <v>617144.8852210961</v>
      </c>
    </row>
    <row r="11" spans="1:11" x14ac:dyDescent="0.3">
      <c r="A11" s="3">
        <v>2029</v>
      </c>
      <c r="B11" s="3">
        <v>282772.86896184913</v>
      </c>
      <c r="C11" s="3">
        <v>106520.69302077778</v>
      </c>
      <c r="D11" s="3">
        <v>51122.753562437145</v>
      </c>
      <c r="E11" s="3">
        <v>53775.960248157193</v>
      </c>
      <c r="F11" s="3">
        <v>37797.428665763742</v>
      </c>
      <c r="G11" s="3">
        <v>50231.832753331342</v>
      </c>
      <c r="H11" s="3">
        <v>21214.036336687859</v>
      </c>
      <c r="I11" s="3">
        <v>12954.733933770725</v>
      </c>
      <c r="J11" s="3">
        <v>8881.5849338337775</v>
      </c>
      <c r="K11" s="2">
        <v>625271.89241660875</v>
      </c>
    </row>
    <row r="12" spans="1:11" x14ac:dyDescent="0.3">
      <c r="A12" s="3">
        <v>2030</v>
      </c>
      <c r="B12" s="3">
        <v>278310.24316498754</v>
      </c>
      <c r="C12" s="3">
        <v>106525.2628620288</v>
      </c>
      <c r="D12" s="3">
        <v>51721.097381380023</v>
      </c>
      <c r="E12" s="3">
        <v>55176.963019332521</v>
      </c>
      <c r="F12" s="3">
        <v>41028.155632420989</v>
      </c>
      <c r="G12" s="3">
        <v>55203.486621284334</v>
      </c>
      <c r="H12" s="3">
        <v>22192.772090953011</v>
      </c>
      <c r="I12" s="3">
        <v>13802.173472795166</v>
      </c>
      <c r="J12" s="3">
        <v>9680.6120572025829</v>
      </c>
      <c r="K12" s="2">
        <v>633640.7663023849</v>
      </c>
    </row>
    <row r="13" spans="1:11" x14ac:dyDescent="0.3">
      <c r="A13" s="3">
        <v>2031</v>
      </c>
      <c r="B13" s="3">
        <v>270636.84778484039</v>
      </c>
      <c r="C13" s="3">
        <v>104117.94364242206</v>
      </c>
      <c r="D13" s="3">
        <v>51739.017538943634</v>
      </c>
      <c r="E13" s="3">
        <v>55973.587181277537</v>
      </c>
      <c r="F13" s="3">
        <v>43891.99623906448</v>
      </c>
      <c r="G13" s="3">
        <v>59659.909248787109</v>
      </c>
      <c r="H13" s="3">
        <v>22925.107960904777</v>
      </c>
      <c r="I13" s="3">
        <v>14497.117427036796</v>
      </c>
      <c r="J13" s="3">
        <v>10375.378059900504</v>
      </c>
      <c r="K13" s="2">
        <v>633816.90508317726</v>
      </c>
    </row>
    <row r="14" spans="1:11" x14ac:dyDescent="0.3">
      <c r="A14" s="3">
        <v>2032</v>
      </c>
      <c r="B14" s="3">
        <v>262940.23787288764</v>
      </c>
      <c r="C14" s="3">
        <v>101691.08826685844</v>
      </c>
      <c r="D14" s="3">
        <v>51756.705892219288</v>
      </c>
      <c r="E14" s="3">
        <v>56768.426369622561</v>
      </c>
      <c r="F14" s="3">
        <v>46761.478358045388</v>
      </c>
      <c r="G14" s="3">
        <v>64094.964590128511</v>
      </c>
      <c r="H14" s="3">
        <v>23656.567055497166</v>
      </c>
      <c r="I14" s="3">
        <v>15197.989161928424</v>
      </c>
      <c r="J14" s="3">
        <v>11068.497279548425</v>
      </c>
      <c r="K14" s="2">
        <v>633935.95484673581</v>
      </c>
    </row>
    <row r="15" spans="1:11" x14ac:dyDescent="0.3">
      <c r="A15" s="3">
        <v>2033</v>
      </c>
      <c r="B15" s="3">
        <v>255359.3240332467</v>
      </c>
      <c r="C15" s="3">
        <v>99284.725451038714</v>
      </c>
      <c r="D15" s="3">
        <v>51775.009079163137</v>
      </c>
      <c r="E15" s="3">
        <v>57565.265474367581</v>
      </c>
      <c r="F15" s="3">
        <v>49646.619984387449</v>
      </c>
      <c r="G15" s="3">
        <v>68604.421338790358</v>
      </c>
      <c r="H15" s="3">
        <v>24391.600793609188</v>
      </c>
      <c r="I15" s="3">
        <v>15895.876012720055</v>
      </c>
      <c r="J15" s="3">
        <v>11757.381569596346</v>
      </c>
      <c r="K15" s="2">
        <v>634280.22373691946</v>
      </c>
    </row>
    <row r="16" spans="1:11" x14ac:dyDescent="0.3">
      <c r="A16" s="3">
        <v>2034</v>
      </c>
      <c r="B16" s="3">
        <v>247669.51932079229</v>
      </c>
      <c r="C16" s="3">
        <v>96881.626586813334</v>
      </c>
      <c r="D16" s="3">
        <v>51792.67150114636</v>
      </c>
      <c r="E16" s="3">
        <v>58364.385332112608</v>
      </c>
      <c r="F16" s="3">
        <v>52470.880694084335</v>
      </c>
      <c r="G16" s="3">
        <v>73087.283705960566</v>
      </c>
      <c r="H16" s="3">
        <v>25136.491410791816</v>
      </c>
      <c r="I16" s="3">
        <v>16591.133436161686</v>
      </c>
      <c r="J16" s="3">
        <v>12450.952988794266</v>
      </c>
      <c r="K16" s="2">
        <v>634444.94497665728</v>
      </c>
    </row>
    <row r="17" spans="1:11" x14ac:dyDescent="0.3">
      <c r="A17" s="3">
        <v>2035</v>
      </c>
      <c r="B17" s="3">
        <v>239851.27043174312</v>
      </c>
      <c r="C17" s="3">
        <v>94366.704054515183</v>
      </c>
      <c r="D17" s="3">
        <v>51769.460831480836</v>
      </c>
      <c r="E17" s="3">
        <v>59113.869788112606</v>
      </c>
      <c r="F17" s="3">
        <v>55222.633312177219</v>
      </c>
      <c r="G17" s="3">
        <v>77532.592622999422</v>
      </c>
      <c r="H17" s="3">
        <v>25849.813944848735</v>
      </c>
      <c r="I17" s="3">
        <v>17275.539327561684</v>
      </c>
      <c r="J17" s="3">
        <v>13145.619634544266</v>
      </c>
      <c r="K17" s="2">
        <v>634127.50394798303</v>
      </c>
    </row>
    <row r="18" spans="1:11" x14ac:dyDescent="0.3">
      <c r="A18" s="3">
        <v>2036</v>
      </c>
      <c r="B18" s="3">
        <v>231793.95314187833</v>
      </c>
      <c r="C18" s="3">
        <v>91780.898370058116</v>
      </c>
      <c r="D18" s="3">
        <v>51664.102210681478</v>
      </c>
      <c r="E18" s="3">
        <v>59817.46073036758</v>
      </c>
      <c r="F18" s="3">
        <v>57941.749440792075</v>
      </c>
      <c r="G18" s="3">
        <v>81908.026718165871</v>
      </c>
      <c r="H18" s="3">
        <v>26550.72031938587</v>
      </c>
      <c r="I18" s="3">
        <v>17956.463999320058</v>
      </c>
      <c r="J18" s="3">
        <v>13819.490673596347</v>
      </c>
      <c r="K18" s="2">
        <v>633232.8656042458</v>
      </c>
    </row>
    <row r="19" spans="1:11" x14ac:dyDescent="0.3">
      <c r="A19" s="3">
        <v>2037</v>
      </c>
      <c r="B19" s="3">
        <v>223216.4322261748</v>
      </c>
      <c r="C19" s="3">
        <v>89009.551443136123</v>
      </c>
      <c r="D19" s="3">
        <v>51432.694835822505</v>
      </c>
      <c r="E19" s="3">
        <v>60380.105441787491</v>
      </c>
      <c r="F19" s="3">
        <v>60563.404900026828</v>
      </c>
      <c r="G19" s="3">
        <v>86012.779330021032</v>
      </c>
      <c r="H19" s="3">
        <v>27179.317723021642</v>
      </c>
      <c r="I19" s="3">
        <v>18581.329343153539</v>
      </c>
      <c r="J19" s="3">
        <v>14460.326335004665</v>
      </c>
      <c r="K19" s="2">
        <v>630835.94157814851</v>
      </c>
    </row>
    <row r="20" spans="1:11" x14ac:dyDescent="0.3">
      <c r="A20" s="3">
        <v>2038</v>
      </c>
      <c r="B20" s="3">
        <v>214728.70862907553</v>
      </c>
      <c r="C20" s="3">
        <v>86239.254186189966</v>
      </c>
      <c r="D20" s="3">
        <v>51202.834195533345</v>
      </c>
      <c r="E20" s="3">
        <v>60928.641386007395</v>
      </c>
      <c r="F20" s="3">
        <v>63122.563653675468</v>
      </c>
      <c r="G20" s="3">
        <v>90100.169227055725</v>
      </c>
      <c r="H20" s="3">
        <v>27801.998611389965</v>
      </c>
      <c r="I20" s="3">
        <v>19212.707012587023</v>
      </c>
      <c r="J20" s="3">
        <v>15104.620878212983</v>
      </c>
      <c r="K20" s="2">
        <v>628441.49777972745</v>
      </c>
    </row>
    <row r="21" spans="1:11" x14ac:dyDescent="0.3">
      <c r="A21" s="3">
        <v>2039</v>
      </c>
      <c r="B21" s="3">
        <v>206550.86404158958</v>
      </c>
      <c r="C21" s="3">
        <v>83638.440690666219</v>
      </c>
      <c r="D21" s="3">
        <v>51054.727365101382</v>
      </c>
      <c r="E21" s="3">
        <v>61577.552383317357</v>
      </c>
      <c r="F21" s="3">
        <v>65782.345347947004</v>
      </c>
      <c r="G21" s="3">
        <v>94305.849090050222</v>
      </c>
      <c r="H21" s="3">
        <v>28466.800043542509</v>
      </c>
      <c r="I21" s="3">
        <v>19867.460914303763</v>
      </c>
      <c r="J21" s="3">
        <v>15757.480972917143</v>
      </c>
      <c r="K21" s="2">
        <v>627001.52084943524</v>
      </c>
    </row>
    <row r="22" spans="1:11" x14ac:dyDescent="0.3">
      <c r="A22" s="3">
        <v>2040</v>
      </c>
      <c r="B22" s="3">
        <v>198408.41432018831</v>
      </c>
      <c r="C22" s="3">
        <v>81050.854729867133</v>
      </c>
      <c r="D22" s="3">
        <v>50906.631500253432</v>
      </c>
      <c r="E22" s="3">
        <v>62228.696107827309</v>
      </c>
      <c r="F22" s="3">
        <v>68420.283836647868</v>
      </c>
      <c r="G22" s="3">
        <v>98528.601768652807</v>
      </c>
      <c r="H22" s="3">
        <v>29128.908508651624</v>
      </c>
      <c r="I22" s="3">
        <v>20510.871237620504</v>
      </c>
      <c r="J22" s="3">
        <v>16417.8657914213</v>
      </c>
      <c r="K22" s="2">
        <v>625601.12780113029</v>
      </c>
    </row>
    <row r="23" spans="1:11" x14ac:dyDescent="0.3">
      <c r="A23" s="3">
        <v>2041</v>
      </c>
      <c r="B23" s="3">
        <v>189879.57051457229</v>
      </c>
      <c r="C23" s="3">
        <v>78288.841135744951</v>
      </c>
      <c r="D23" s="3">
        <v>50644.909790766978</v>
      </c>
      <c r="E23" s="3">
        <v>62726.585187771205</v>
      </c>
      <c r="F23" s="3">
        <v>70866.17131115419</v>
      </c>
      <c r="G23" s="3">
        <v>102538.79288372051</v>
      </c>
      <c r="H23" s="3">
        <v>29731.150660018571</v>
      </c>
      <c r="I23" s="3">
        <v>21113.49944598068</v>
      </c>
      <c r="J23" s="3">
        <v>17032.259693751283</v>
      </c>
      <c r="K23" s="2">
        <v>622821.78062348056</v>
      </c>
    </row>
    <row r="24" spans="1:11" x14ac:dyDescent="0.3">
      <c r="A24" s="3">
        <v>2042</v>
      </c>
      <c r="B24" s="3">
        <v>181472.38739110107</v>
      </c>
      <c r="C24" s="3">
        <v>75514.68261673901</v>
      </c>
      <c r="D24" s="3">
        <v>50381.612172890505</v>
      </c>
      <c r="E24" s="3">
        <v>63218.918534595097</v>
      </c>
      <c r="F24" s="3">
        <v>73339.656749569316</v>
      </c>
      <c r="G24" s="3">
        <v>106493.58732244845</v>
      </c>
      <c r="H24" s="3">
        <v>30318.746090703487</v>
      </c>
      <c r="I24" s="3">
        <v>21701.414442420861</v>
      </c>
      <c r="J24" s="3">
        <v>17633.877046801266</v>
      </c>
      <c r="K24" s="2">
        <v>620074.88236726914</v>
      </c>
    </row>
    <row r="25" spans="1:11" x14ac:dyDescent="0.3">
      <c r="A25" s="3">
        <v>2043</v>
      </c>
      <c r="B25" s="3">
        <v>173029.47060255881</v>
      </c>
      <c r="C25" s="3">
        <v>72790.318584640379</v>
      </c>
      <c r="D25" s="3">
        <v>50121.062595156298</v>
      </c>
      <c r="E25" s="3">
        <v>63714.277828298982</v>
      </c>
      <c r="F25" s="3">
        <v>75825.46437603698</v>
      </c>
      <c r="G25" s="3">
        <v>110405.23805667316</v>
      </c>
      <c r="H25" s="3">
        <v>30909.597103744272</v>
      </c>
      <c r="I25" s="3">
        <v>22285.818372621034</v>
      </c>
      <c r="J25" s="3">
        <v>18232.327095051245</v>
      </c>
      <c r="K25" s="2">
        <v>617313.5746147813</v>
      </c>
    </row>
    <row r="26" spans="1:11" x14ac:dyDescent="0.3">
      <c r="A26" s="3">
        <v>2044</v>
      </c>
      <c r="B26" s="3">
        <v>164684.16622354422</v>
      </c>
      <c r="C26" s="3">
        <v>70076.795254721525</v>
      </c>
      <c r="D26" s="3">
        <v>49859.298309160251</v>
      </c>
      <c r="E26" s="3">
        <v>64202.980663442868</v>
      </c>
      <c r="F26" s="3">
        <v>78262.432779930154</v>
      </c>
      <c r="G26" s="3">
        <v>114319.92943819067</v>
      </c>
      <c r="H26" s="3">
        <v>31492.070012870747</v>
      </c>
      <c r="I26" s="3">
        <v>22869.129742341214</v>
      </c>
      <c r="J26" s="3">
        <v>18828.604407461225</v>
      </c>
      <c r="K26" s="2">
        <v>614595.40683166287</v>
      </c>
    </row>
    <row r="27" spans="1:11" x14ac:dyDescent="0.3">
      <c r="A27" s="3">
        <v>2045</v>
      </c>
      <c r="B27" s="3">
        <v>156434.79575612932</v>
      </c>
      <c r="C27" s="3">
        <v>67358.727592532741</v>
      </c>
      <c r="D27" s="3">
        <v>49600.623493452615</v>
      </c>
      <c r="E27" s="3">
        <v>64686.278051546782</v>
      </c>
      <c r="F27" s="3">
        <v>80706.273781680764</v>
      </c>
      <c r="G27" s="3">
        <v>118186.9145562793</v>
      </c>
      <c r="H27" s="3">
        <v>32067.688846587374</v>
      </c>
      <c r="I27" s="3">
        <v>23443.522815421398</v>
      </c>
      <c r="J27" s="3">
        <v>19421.066506271211</v>
      </c>
      <c r="K27" s="2">
        <v>611905.89139990159</v>
      </c>
    </row>
    <row r="28" spans="1:11" x14ac:dyDescent="0.3">
      <c r="A28" s="3">
        <v>2046</v>
      </c>
      <c r="B28" s="3">
        <v>147968.73774155171</v>
      </c>
      <c r="C28" s="3">
        <v>64566.890769253972</v>
      </c>
      <c r="D28" s="3">
        <v>49242.815907069307</v>
      </c>
      <c r="E28" s="3">
        <v>65028.586359782617</v>
      </c>
      <c r="F28" s="3">
        <v>82895.984300327415</v>
      </c>
      <c r="G28" s="3">
        <v>121716.45484458806</v>
      </c>
      <c r="H28" s="3">
        <v>32578.442498562355</v>
      </c>
      <c r="I28" s="3">
        <v>23969.640241841666</v>
      </c>
      <c r="J28" s="3">
        <v>19967.067914766183</v>
      </c>
      <c r="K28" s="2">
        <v>607934.62057774328</v>
      </c>
    </row>
    <row r="29" spans="1:11" x14ac:dyDescent="0.3">
      <c r="A29" s="3">
        <v>2047</v>
      </c>
      <c r="B29" s="3">
        <v>139500.40892473821</v>
      </c>
      <c r="C29" s="3">
        <v>61779.943554028396</v>
      </c>
      <c r="D29" s="3">
        <v>48884.746897641453</v>
      </c>
      <c r="E29" s="3">
        <v>65362.404882098461</v>
      </c>
      <c r="F29" s="3">
        <v>85134.552242437392</v>
      </c>
      <c r="G29" s="3">
        <v>125217.71450855059</v>
      </c>
      <c r="H29" s="3">
        <v>33070.69193163835</v>
      </c>
      <c r="I29" s="3">
        <v>24486.276946021935</v>
      </c>
      <c r="J29" s="3">
        <v>20502.533107901156</v>
      </c>
      <c r="K29" s="2">
        <v>603939.272995056</v>
      </c>
    </row>
    <row r="30" spans="1:11" x14ac:dyDescent="0.3">
      <c r="A30" s="3">
        <v>2048</v>
      </c>
      <c r="B30" s="3">
        <v>131136.8983185096</v>
      </c>
      <c r="C30" s="3">
        <v>59016.414106322016</v>
      </c>
      <c r="D30" s="3">
        <v>48527.294953864388</v>
      </c>
      <c r="E30" s="3">
        <v>65693.532827294301</v>
      </c>
      <c r="F30" s="3">
        <v>87293.399383919459</v>
      </c>
      <c r="G30" s="3">
        <v>128673.88127517453</v>
      </c>
      <c r="H30" s="3">
        <v>33555.190567893871</v>
      </c>
      <c r="I30" s="3">
        <v>25001.788739602205</v>
      </c>
      <c r="J30" s="3">
        <v>21039.203114316129</v>
      </c>
      <c r="K30" s="2">
        <v>599937.60328689648</v>
      </c>
    </row>
    <row r="31" spans="1:11" x14ac:dyDescent="0.3">
      <c r="A31" s="3">
        <v>2049</v>
      </c>
      <c r="B31" s="3">
        <v>122932.29490187137</v>
      </c>
      <c r="C31" s="3">
        <v>56306.110958305668</v>
      </c>
      <c r="D31" s="3">
        <v>48174.057986806816</v>
      </c>
      <c r="E31" s="3">
        <v>66009.681178250146</v>
      </c>
      <c r="F31" s="3">
        <v>89382.872231106128</v>
      </c>
      <c r="G31" s="3">
        <v>132050.64882198052</v>
      </c>
      <c r="H31" s="3">
        <v>34041.131011972058</v>
      </c>
      <c r="I31" s="3">
        <v>25502.013763662471</v>
      </c>
      <c r="J31" s="3">
        <v>21569.069661211102</v>
      </c>
      <c r="K31" s="2">
        <v>595967.88051516621</v>
      </c>
    </row>
    <row r="32" spans="1:11" x14ac:dyDescent="0.3">
      <c r="A32" s="3">
        <v>2050</v>
      </c>
      <c r="B32" s="3">
        <v>114835.76140527037</v>
      </c>
      <c r="C32" s="3">
        <v>53599.590150276868</v>
      </c>
      <c r="D32" s="3">
        <v>47819.680597790168</v>
      </c>
      <c r="E32" s="3">
        <v>66318.413507125995</v>
      </c>
      <c r="F32" s="3">
        <v>91521.901832648218</v>
      </c>
      <c r="G32" s="3">
        <v>135405.63160223301</v>
      </c>
      <c r="H32" s="3">
        <v>34507.983433678484</v>
      </c>
      <c r="I32" s="3">
        <v>25993.587864122739</v>
      </c>
      <c r="J32" s="3">
        <v>22082.683840546073</v>
      </c>
      <c r="K32" s="2">
        <v>592085.23423369194</v>
      </c>
    </row>
    <row r="33" spans="1:11" x14ac:dyDescent="0.3">
      <c r="A33" s="3">
        <v>2051</v>
      </c>
      <c r="B33" s="3">
        <v>107064.32729229954</v>
      </c>
      <c r="C33" s="3">
        <v>51051.415193107103</v>
      </c>
      <c r="D33" s="3">
        <v>47562.501479401253</v>
      </c>
      <c r="E33" s="3">
        <v>66752.481781309878</v>
      </c>
      <c r="F33" s="3">
        <v>93724.757910357032</v>
      </c>
      <c r="G33" s="3">
        <v>138985.2506764608</v>
      </c>
      <c r="H33" s="3">
        <v>35039.359704755334</v>
      </c>
      <c r="I33" s="3">
        <v>26529.072027162918</v>
      </c>
      <c r="J33" s="3">
        <v>22641.959772276059</v>
      </c>
      <c r="K33" s="2">
        <v>589351.12583712989</v>
      </c>
    </row>
    <row r="34" spans="1:11" x14ac:dyDescent="0.3">
      <c r="A34" s="3">
        <v>2052</v>
      </c>
      <c r="B34" s="3">
        <v>99341.107375490639</v>
      </c>
      <c r="C34" s="3">
        <v>48487.567790274727</v>
      </c>
      <c r="D34" s="3">
        <v>47306.006890722179</v>
      </c>
      <c r="E34" s="3">
        <v>67183.79066509378</v>
      </c>
      <c r="F34" s="3">
        <v>95979.137992330056</v>
      </c>
      <c r="G34" s="3">
        <v>142583.69666243403</v>
      </c>
      <c r="H34" s="3">
        <v>35566.488614122674</v>
      </c>
      <c r="I34" s="3">
        <v>27059.882713923096</v>
      </c>
      <c r="J34" s="3">
        <v>23195.02178288604</v>
      </c>
      <c r="K34" s="2">
        <v>586702.70048727724</v>
      </c>
    </row>
    <row r="35" spans="1:11" x14ac:dyDescent="0.3">
      <c r="A35" s="3">
        <v>2053</v>
      </c>
      <c r="B35" s="3">
        <v>91661.225797240098</v>
      </c>
      <c r="C35" s="3">
        <v>45956.868228548781</v>
      </c>
      <c r="D35" s="3">
        <v>47051.549158578615</v>
      </c>
      <c r="E35" s="3">
        <v>67612.143215917662</v>
      </c>
      <c r="F35" s="3">
        <v>98218.103099733955</v>
      </c>
      <c r="G35" s="3">
        <v>146113.41329066869</v>
      </c>
      <c r="H35" s="3">
        <v>36088.563993962824</v>
      </c>
      <c r="I35" s="3">
        <v>27588.307403883271</v>
      </c>
      <c r="J35" s="3">
        <v>23744.25115985602</v>
      </c>
      <c r="K35" s="2">
        <v>584034.42534838989</v>
      </c>
    </row>
    <row r="36" spans="1:11" x14ac:dyDescent="0.3">
      <c r="A36" s="3">
        <v>2054</v>
      </c>
      <c r="B36" s="3">
        <v>83983.331158416084</v>
      </c>
      <c r="C36" s="3">
        <v>43431.609224157481</v>
      </c>
      <c r="D36" s="3">
        <v>46795.315366375398</v>
      </c>
      <c r="E36" s="3">
        <v>68024.216481301555</v>
      </c>
      <c r="F36" s="3">
        <v>100456.79479520094</v>
      </c>
      <c r="G36" s="3">
        <v>149631.05247458076</v>
      </c>
      <c r="H36" s="3">
        <v>36602.410864739541</v>
      </c>
      <c r="I36" s="3">
        <v>28112.954758963449</v>
      </c>
      <c r="J36" s="3">
        <v>24282.441003265998</v>
      </c>
      <c r="K36" s="2">
        <v>581320.12612700125</v>
      </c>
    </row>
    <row r="37" spans="1:11" x14ac:dyDescent="0.3">
      <c r="A37" s="3">
        <v>2055</v>
      </c>
      <c r="B37" s="3">
        <v>76408.237578609725</v>
      </c>
      <c r="C37" s="3">
        <v>40944.88338174126</v>
      </c>
      <c r="D37" s="3">
        <v>46542.657175368222</v>
      </c>
      <c r="E37" s="3">
        <v>68433.235661245461</v>
      </c>
      <c r="F37" s="3">
        <v>102656.93048977989</v>
      </c>
      <c r="G37" s="3">
        <v>153049.79943568012</v>
      </c>
      <c r="H37" s="3">
        <v>37119.128505179055</v>
      </c>
      <c r="I37" s="3">
        <v>28634.309227523634</v>
      </c>
      <c r="J37" s="3">
        <v>24819.599980795985</v>
      </c>
      <c r="K37" s="2">
        <v>578608.78143592342</v>
      </c>
    </row>
    <row r="38" spans="1:11" x14ac:dyDescent="0.3">
      <c r="A38" s="3">
        <v>2056</v>
      </c>
      <c r="B38" s="3">
        <v>69009.324608610448</v>
      </c>
      <c r="C38" s="3">
        <v>38518.917298017477</v>
      </c>
      <c r="D38" s="3">
        <v>46338.580084551795</v>
      </c>
      <c r="E38" s="3">
        <v>68910.326866723379</v>
      </c>
      <c r="F38" s="3">
        <v>104883.9358747081</v>
      </c>
      <c r="G38" s="3">
        <v>156628.14191826293</v>
      </c>
      <c r="H38" s="3">
        <v>37663.316293855853</v>
      </c>
      <c r="I38" s="3">
        <v>29179.194320733772</v>
      </c>
      <c r="J38" s="3">
        <v>25381.767473063472</v>
      </c>
      <c r="K38" s="2">
        <v>576513.50473852712</v>
      </c>
    </row>
    <row r="39" spans="1:11" x14ac:dyDescent="0.3">
      <c r="A39" s="3">
        <v>2057</v>
      </c>
      <c r="B39" s="3">
        <v>61650.214855984872</v>
      </c>
      <c r="C39" s="3">
        <v>36100.292979321122</v>
      </c>
      <c r="D39" s="3">
        <v>46132.683747952964</v>
      </c>
      <c r="E39" s="3">
        <v>69388.118231881293</v>
      </c>
      <c r="F39" s="3">
        <v>107121.06764135946</v>
      </c>
      <c r="G39" s="3">
        <v>160216.55378118716</v>
      </c>
      <c r="H39" s="3">
        <v>38211.782721788499</v>
      </c>
      <c r="I39" s="3">
        <v>29716.251068143905</v>
      </c>
      <c r="J39" s="3">
        <v>25937.792101130955</v>
      </c>
      <c r="K39" s="2">
        <v>574474.75712875021</v>
      </c>
    </row>
    <row r="40" spans="1:11" x14ac:dyDescent="0.3">
      <c r="A40" s="3">
        <v>2058</v>
      </c>
      <c r="B40" s="3">
        <v>54324.86347431055</v>
      </c>
      <c r="C40" s="3">
        <v>33707.133268241028</v>
      </c>
      <c r="D40" s="3">
        <v>45928.122278969931</v>
      </c>
      <c r="E40" s="3">
        <v>69855.811267519224</v>
      </c>
      <c r="F40" s="3">
        <v>109296.31995060145</v>
      </c>
      <c r="G40" s="3">
        <v>163755.09016991453</v>
      </c>
      <c r="H40" s="3">
        <v>38754.947861880464</v>
      </c>
      <c r="I40" s="3">
        <v>30255.975277714038</v>
      </c>
      <c r="J40" s="3">
        <v>26491.199855818442</v>
      </c>
      <c r="K40" s="2">
        <v>572369.46340496966</v>
      </c>
    </row>
    <row r="41" spans="1:11" x14ac:dyDescent="0.3">
      <c r="A41" s="3">
        <v>2059</v>
      </c>
      <c r="B41" s="3">
        <v>46987.708307483525</v>
      </c>
      <c r="C41" s="3">
        <v>31332.491317503733</v>
      </c>
      <c r="D41" s="3">
        <v>45724.694883525342</v>
      </c>
      <c r="E41" s="3">
        <v>70327.437537397142</v>
      </c>
      <c r="F41" s="3">
        <v>111521.4867295836</v>
      </c>
      <c r="G41" s="3">
        <v>167299.09028441584</v>
      </c>
      <c r="H41" s="3">
        <v>39295.852707639824</v>
      </c>
      <c r="I41" s="3">
        <v>30788.80860548417</v>
      </c>
      <c r="J41" s="3">
        <v>27034.57139266593</v>
      </c>
      <c r="K41" s="2">
        <v>570312.14176569914</v>
      </c>
    </row>
    <row r="42" spans="1:11" x14ac:dyDescent="0.3">
      <c r="A42" s="3">
        <v>2060</v>
      </c>
      <c r="B42" s="3">
        <v>39738.079048070722</v>
      </c>
      <c r="C42" s="3">
        <v>28975.832722757808</v>
      </c>
      <c r="D42" s="3">
        <v>45521.141112747478</v>
      </c>
      <c r="E42" s="3">
        <v>70783.393049035061</v>
      </c>
      <c r="F42" s="3">
        <v>113680.13107354964</v>
      </c>
      <c r="G42" s="3">
        <v>170785.49006265556</v>
      </c>
      <c r="H42" s="3">
        <v>39827.939177648346</v>
      </c>
      <c r="I42" s="3">
        <v>31316.727027874305</v>
      </c>
      <c r="J42" s="3">
        <v>27580.490670533418</v>
      </c>
      <c r="K42" s="2">
        <v>568209.22394487227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6FD2-FB69-4FEE-9257-B1DBE52BDAB9}">
  <dimension ref="A1:K42"/>
  <sheetViews>
    <sheetView topLeftCell="A8" workbookViewId="0">
      <selection activeCell="B2" sqref="B2:B42"/>
    </sheetView>
  </sheetViews>
  <sheetFormatPr defaultRowHeight="14" x14ac:dyDescent="0.3"/>
  <cols>
    <col min="2" max="2" width="10.6640625" customWidth="1"/>
    <col min="3" max="3" width="11.25" bestFit="1" customWidth="1"/>
    <col min="4" max="4" width="9.1640625" bestFit="1" customWidth="1"/>
    <col min="10" max="10" width="9.83203125" customWidth="1"/>
    <col min="11" max="11" width="9.1640625" bestFit="1" customWidth="1"/>
    <col min="18" max="18" width="10.1640625" bestFit="1" customWidth="1"/>
  </cols>
  <sheetData>
    <row r="1" spans="1:11" s="2" customFormat="1" x14ac:dyDescent="0.3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25</v>
      </c>
      <c r="I1" s="2" t="s">
        <v>24</v>
      </c>
      <c r="J1" s="2" t="s">
        <v>26</v>
      </c>
      <c r="K1" s="2" t="s">
        <v>27</v>
      </c>
    </row>
    <row r="2" spans="1:11" s="2" customFormat="1" x14ac:dyDescent="0.3">
      <c r="A2" s="3">
        <v>2020</v>
      </c>
      <c r="B2" s="3">
        <v>284635.2917</v>
      </c>
      <c r="C2" s="3">
        <v>94986.880399999995</v>
      </c>
      <c r="D2" s="3">
        <v>41456.136460000002</v>
      </c>
      <c r="E2" s="3">
        <v>38058.293940000003</v>
      </c>
      <c r="F2" s="3">
        <v>10481.60471</v>
      </c>
      <c r="G2" s="3">
        <v>8940.4323960000002</v>
      </c>
      <c r="H2" s="3">
        <v>11973.768</v>
      </c>
      <c r="I2" s="3">
        <v>5523.0941140000004</v>
      </c>
      <c r="J2" s="3">
        <v>2258.409071</v>
      </c>
      <c r="K2" s="2">
        <f>SUM(B2:J2)</f>
        <v>498313.91079099994</v>
      </c>
    </row>
    <row r="3" spans="1:11" x14ac:dyDescent="0.3">
      <c r="A3" s="3">
        <v>2021</v>
      </c>
      <c r="B3" s="3">
        <v>288180.17233489337</v>
      </c>
      <c r="C3" s="3">
        <v>97291.877312614539</v>
      </c>
      <c r="D3" s="3">
        <v>42891.532173114349</v>
      </c>
      <c r="E3" s="3">
        <v>40006.651407844736</v>
      </c>
      <c r="F3" s="3">
        <v>13161.013738654648</v>
      </c>
      <c r="G3" s="3">
        <v>11683.481443708401</v>
      </c>
      <c r="H3" s="3">
        <v>12983.3925371362</v>
      </c>
      <c r="I3" s="3">
        <v>6281.7296599449246</v>
      </c>
      <c r="J3" s="3">
        <v>2904.0448818146883</v>
      </c>
      <c r="K3" s="2">
        <v>516563.89548972598</v>
      </c>
    </row>
    <row r="4" spans="1:11" x14ac:dyDescent="0.3">
      <c r="A4" s="3">
        <v>2022</v>
      </c>
      <c r="B4" s="3">
        <v>291493.51135505561</v>
      </c>
      <c r="C4" s="3">
        <v>99584.181665625583</v>
      </c>
      <c r="D4" s="3">
        <v>44351.996928505549</v>
      </c>
      <c r="E4" s="3">
        <v>42025.56777076752</v>
      </c>
      <c r="F4" s="3">
        <v>15979.773437363945</v>
      </c>
      <c r="G4" s="3">
        <v>15239.321643818699</v>
      </c>
      <c r="H4" s="3">
        <v>14043.234654818994</v>
      </c>
      <c r="I4" s="3">
        <v>7084.0485652269326</v>
      </c>
      <c r="J4" s="3">
        <v>3585.3682660206546</v>
      </c>
      <c r="K4" s="2">
        <v>535187.00428720354</v>
      </c>
    </row>
    <row r="5" spans="1:11" x14ac:dyDescent="0.3">
      <c r="A5" s="3">
        <v>2023</v>
      </c>
      <c r="B5" s="3">
        <v>294308.41389795108</v>
      </c>
      <c r="C5" s="3">
        <v>101807.63810146949</v>
      </c>
      <c r="D5" s="3">
        <v>45810.94876346652</v>
      </c>
      <c r="E5" s="3">
        <v>44087.709004890305</v>
      </c>
      <c r="F5" s="3">
        <v>19003.829698578287</v>
      </c>
      <c r="G5" s="3">
        <v>19868.261111252301</v>
      </c>
      <c r="H5" s="3">
        <v>15148.967645912895</v>
      </c>
      <c r="I5" s="3">
        <v>7930.8157458089399</v>
      </c>
      <c r="J5" s="3">
        <v>4308.5356588066206</v>
      </c>
      <c r="K5" s="2">
        <v>553875.11962813628</v>
      </c>
    </row>
    <row r="6" spans="1:11" x14ac:dyDescent="0.3">
      <c r="A6" s="3">
        <v>2024</v>
      </c>
      <c r="B6" s="3">
        <v>296692.90257089084</v>
      </c>
      <c r="C6" s="3">
        <v>103951.20261483589</v>
      </c>
      <c r="D6" s="3">
        <v>47268.311508293918</v>
      </c>
      <c r="E6" s="3">
        <v>46196.009194693084</v>
      </c>
      <c r="F6" s="3">
        <v>22161.645273971331</v>
      </c>
      <c r="G6" s="3">
        <v>25910.353228546501</v>
      </c>
      <c r="H6" s="3">
        <v>16288.162366312705</v>
      </c>
      <c r="I6" s="3">
        <v>8811.1840583509475</v>
      </c>
      <c r="J6" s="3">
        <v>5076.0205802325872</v>
      </c>
      <c r="K6" s="2">
        <v>572636.79139612778</v>
      </c>
    </row>
    <row r="7" spans="1:11" x14ac:dyDescent="0.3">
      <c r="A7" s="3">
        <v>2025</v>
      </c>
      <c r="B7" s="3">
        <v>298581.19001390168</v>
      </c>
      <c r="C7" s="3">
        <v>106036.40428452363</v>
      </c>
      <c r="D7" s="3">
        <v>48724.824637592123</v>
      </c>
      <c r="E7" s="3">
        <v>48351.325180255873</v>
      </c>
      <c r="F7" s="3">
        <v>25473.115807444301</v>
      </c>
      <c r="G7" s="3">
        <v>31179.345367050308</v>
      </c>
      <c r="H7" s="3">
        <v>17473.040802797339</v>
      </c>
      <c r="I7" s="3">
        <v>9733.2671151729573</v>
      </c>
      <c r="J7" s="3">
        <v>5883.3142728585535</v>
      </c>
      <c r="K7" s="2">
        <v>591435.82748159661</v>
      </c>
    </row>
    <row r="8" spans="1:11" x14ac:dyDescent="0.3">
      <c r="A8" s="3">
        <v>2026</v>
      </c>
      <c r="B8" s="3">
        <v>294932.90536132059</v>
      </c>
      <c r="C8" s="3">
        <v>106211.81252013201</v>
      </c>
      <c r="D8" s="3">
        <v>49333.286769926235</v>
      </c>
      <c r="E8" s="3">
        <v>49691.010196700212</v>
      </c>
      <c r="F8" s="3">
        <v>28446.270364852273</v>
      </c>
      <c r="G8" s="3">
        <v>35805.40256620077</v>
      </c>
      <c r="H8" s="3">
        <v>18384.484023763347</v>
      </c>
      <c r="I8" s="3">
        <v>10519.555210685725</v>
      </c>
      <c r="J8" s="3">
        <v>6609.4280394469433</v>
      </c>
      <c r="K8" s="2">
        <v>599934.15505302814</v>
      </c>
    </row>
    <row r="9" spans="1:11" x14ac:dyDescent="0.3">
      <c r="A9" s="3">
        <v>2027</v>
      </c>
      <c r="B9" s="3">
        <v>291205.19757417752</v>
      </c>
      <c r="C9" s="3">
        <v>106374.06905478735</v>
      </c>
      <c r="D9" s="3">
        <v>49941.295216531107</v>
      </c>
      <c r="E9" s="3">
        <v>51045.044050424542</v>
      </c>
      <c r="F9" s="3">
        <v>31505.196530628655</v>
      </c>
      <c r="G9" s="3">
        <v>40511.528961767457</v>
      </c>
      <c r="H9" s="3">
        <v>19311.358863220881</v>
      </c>
      <c r="I9" s="3">
        <v>11320.235983618493</v>
      </c>
      <c r="J9" s="3">
        <v>7346.937975435334</v>
      </c>
      <c r="K9" s="2">
        <v>608560.8642105913</v>
      </c>
    </row>
    <row r="10" spans="1:11" x14ac:dyDescent="0.3">
      <c r="A10" s="3">
        <v>2028</v>
      </c>
      <c r="B10" s="3">
        <v>287172.16238182888</v>
      </c>
      <c r="C10" s="3">
        <v>106507.14175635394</v>
      </c>
      <c r="D10" s="3">
        <v>50549.202134115578</v>
      </c>
      <c r="E10" s="3">
        <v>52418.872112708872</v>
      </c>
      <c r="F10" s="3">
        <v>34642.724207705112</v>
      </c>
      <c r="G10" s="3">
        <v>45357.759133759071</v>
      </c>
      <c r="H10" s="3">
        <v>20262.463004389705</v>
      </c>
      <c r="I10" s="3">
        <v>12128.535681491261</v>
      </c>
      <c r="J10" s="3">
        <v>8106.024808743724</v>
      </c>
      <c r="K10" s="2">
        <v>617144.8852210961</v>
      </c>
    </row>
    <row r="11" spans="1:11" x14ac:dyDescent="0.3">
      <c r="A11" s="3">
        <v>2029</v>
      </c>
      <c r="B11" s="3">
        <v>282772.86896184913</v>
      </c>
      <c r="C11" s="3">
        <v>106520.69302077778</v>
      </c>
      <c r="D11" s="3">
        <v>51122.753562437145</v>
      </c>
      <c r="E11" s="3">
        <v>53775.960248157193</v>
      </c>
      <c r="F11" s="3">
        <v>37797.428665763742</v>
      </c>
      <c r="G11" s="3">
        <v>50231.832753331342</v>
      </c>
      <c r="H11" s="3">
        <v>21214.036336687859</v>
      </c>
      <c r="I11" s="3">
        <v>12954.733933770725</v>
      </c>
      <c r="J11" s="3">
        <v>8881.5849338337775</v>
      </c>
      <c r="K11" s="2">
        <v>625271.89241660875</v>
      </c>
    </row>
    <row r="12" spans="1:11" x14ac:dyDescent="0.3">
      <c r="A12" s="3">
        <v>2030</v>
      </c>
      <c r="B12" s="3">
        <v>278310.24316498754</v>
      </c>
      <c r="C12" s="3">
        <v>106525.2628620288</v>
      </c>
      <c r="D12" s="3">
        <v>51721.097381380023</v>
      </c>
      <c r="E12" s="3">
        <v>55176.963019332521</v>
      </c>
      <c r="F12" s="3">
        <v>41028.155632420989</v>
      </c>
      <c r="G12" s="3">
        <v>55203.486621284334</v>
      </c>
      <c r="H12" s="3">
        <v>22192.772090953011</v>
      </c>
      <c r="I12" s="3">
        <v>13802.173472795166</v>
      </c>
      <c r="J12" s="3">
        <v>9680.6120572025829</v>
      </c>
      <c r="K12" s="2">
        <v>633640.7663023849</v>
      </c>
    </row>
    <row r="13" spans="1:11" x14ac:dyDescent="0.3">
      <c r="A13" s="3">
        <v>2031</v>
      </c>
      <c r="B13" s="3">
        <v>270636.84778484039</v>
      </c>
      <c r="C13" s="3">
        <v>104117.94364242206</v>
      </c>
      <c r="D13" s="3">
        <v>51739.017538943634</v>
      </c>
      <c r="E13" s="3">
        <v>55973.587181277537</v>
      </c>
      <c r="F13" s="3">
        <v>43891.99623906448</v>
      </c>
      <c r="G13" s="3">
        <v>59659.909248787109</v>
      </c>
      <c r="H13" s="3">
        <v>22925.107960904777</v>
      </c>
      <c r="I13" s="3">
        <v>14497.117427036796</v>
      </c>
      <c r="J13" s="3">
        <v>10375.378059900504</v>
      </c>
      <c r="K13" s="2">
        <v>633816.90508317726</v>
      </c>
    </row>
    <row r="14" spans="1:11" x14ac:dyDescent="0.3">
      <c r="A14" s="3">
        <v>2032</v>
      </c>
      <c r="B14" s="3">
        <v>262940.23787288764</v>
      </c>
      <c r="C14" s="3">
        <v>101691.08826685844</v>
      </c>
      <c r="D14" s="3">
        <v>51756.705892219288</v>
      </c>
      <c r="E14" s="3">
        <v>56768.426369622561</v>
      </c>
      <c r="F14" s="3">
        <v>46761.478358045388</v>
      </c>
      <c r="G14" s="3">
        <v>64094.964590128511</v>
      </c>
      <c r="H14" s="3">
        <v>23656.567055497166</v>
      </c>
      <c r="I14" s="3">
        <v>15197.989161928424</v>
      </c>
      <c r="J14" s="3">
        <v>11068.497279548425</v>
      </c>
      <c r="K14" s="2">
        <v>633935.95484673581</v>
      </c>
    </row>
    <row r="15" spans="1:11" x14ac:dyDescent="0.3">
      <c r="A15" s="3">
        <v>2033</v>
      </c>
      <c r="B15" s="3">
        <v>255359.3240332467</v>
      </c>
      <c r="C15" s="3">
        <v>99284.725451038714</v>
      </c>
      <c r="D15" s="3">
        <v>51775.009079163137</v>
      </c>
      <c r="E15" s="3">
        <v>57565.265474367581</v>
      </c>
      <c r="F15" s="3">
        <v>49646.619984387449</v>
      </c>
      <c r="G15" s="3">
        <v>68604.421338790358</v>
      </c>
      <c r="H15" s="3">
        <v>24391.600793609188</v>
      </c>
      <c r="I15" s="3">
        <v>15895.876012720055</v>
      </c>
      <c r="J15" s="3">
        <v>11757.381569596346</v>
      </c>
      <c r="K15" s="2">
        <v>634280.22373691946</v>
      </c>
    </row>
    <row r="16" spans="1:11" x14ac:dyDescent="0.3">
      <c r="A16" s="3">
        <v>2034</v>
      </c>
      <c r="B16" s="3">
        <v>247669.51932079229</v>
      </c>
      <c r="C16" s="3">
        <v>96881.626586813334</v>
      </c>
      <c r="D16" s="3">
        <v>51792.67150114636</v>
      </c>
      <c r="E16" s="3">
        <v>58364.385332112608</v>
      </c>
      <c r="F16" s="3">
        <v>52470.880694084335</v>
      </c>
      <c r="G16" s="3">
        <v>73087.283705960566</v>
      </c>
      <c r="H16" s="3">
        <v>25136.491410791816</v>
      </c>
      <c r="I16" s="3">
        <v>16591.133436161686</v>
      </c>
      <c r="J16" s="3">
        <v>12450.952988794266</v>
      </c>
      <c r="K16" s="2">
        <v>634444.94497665728</v>
      </c>
    </row>
    <row r="17" spans="1:11" x14ac:dyDescent="0.3">
      <c r="A17" s="3">
        <v>2035</v>
      </c>
      <c r="B17" s="3">
        <v>239851.27043174312</v>
      </c>
      <c r="C17" s="3">
        <v>94366.704054515183</v>
      </c>
      <c r="D17" s="3">
        <v>51769.460831480836</v>
      </c>
      <c r="E17" s="3">
        <v>59113.869788112606</v>
      </c>
      <c r="F17" s="3">
        <v>55222.633312177219</v>
      </c>
      <c r="G17" s="3">
        <v>77532.592622999422</v>
      </c>
      <c r="H17" s="3">
        <v>25849.813944848735</v>
      </c>
      <c r="I17" s="3">
        <v>17275.539327561684</v>
      </c>
      <c r="J17" s="3">
        <v>13145.619634544266</v>
      </c>
      <c r="K17" s="2">
        <v>634127.50394798303</v>
      </c>
    </row>
    <row r="18" spans="1:11" x14ac:dyDescent="0.3">
      <c r="A18" s="3">
        <v>2036</v>
      </c>
      <c r="B18" s="3">
        <v>231793.95314187833</v>
      </c>
      <c r="C18" s="3">
        <v>91780.898370058116</v>
      </c>
      <c r="D18" s="3">
        <v>51664.102210681478</v>
      </c>
      <c r="E18" s="3">
        <v>59817.46073036758</v>
      </c>
      <c r="F18" s="3">
        <v>57941.749440792075</v>
      </c>
      <c r="G18" s="3">
        <v>81908.026718165871</v>
      </c>
      <c r="H18" s="3">
        <v>26550.72031938587</v>
      </c>
      <c r="I18" s="3">
        <v>17956.463999320058</v>
      </c>
      <c r="J18" s="3">
        <v>13819.490673596347</v>
      </c>
      <c r="K18" s="2">
        <v>633232.8656042458</v>
      </c>
    </row>
    <row r="19" spans="1:11" x14ac:dyDescent="0.3">
      <c r="A19" s="3">
        <v>2037</v>
      </c>
      <c r="B19" s="3">
        <v>223216.4322261748</v>
      </c>
      <c r="C19" s="3">
        <v>89009.551443136123</v>
      </c>
      <c r="D19" s="3">
        <v>51432.694835822505</v>
      </c>
      <c r="E19" s="3">
        <v>60380.105441787491</v>
      </c>
      <c r="F19" s="3">
        <v>60563.404900026828</v>
      </c>
      <c r="G19" s="3">
        <v>86012.779330021032</v>
      </c>
      <c r="H19" s="3">
        <v>27179.317723021642</v>
      </c>
      <c r="I19" s="3">
        <v>18581.329343153539</v>
      </c>
      <c r="J19" s="3">
        <v>14460.326335004665</v>
      </c>
      <c r="K19" s="2">
        <v>630835.94157814851</v>
      </c>
    </row>
    <row r="20" spans="1:11" x14ac:dyDescent="0.3">
      <c r="A20" s="3">
        <v>2038</v>
      </c>
      <c r="B20" s="3">
        <v>214728.70862907553</v>
      </c>
      <c r="C20" s="3">
        <v>86239.254186189966</v>
      </c>
      <c r="D20" s="3">
        <v>51202.834195533345</v>
      </c>
      <c r="E20" s="3">
        <v>60928.641386007395</v>
      </c>
      <c r="F20" s="3">
        <v>63122.563653675468</v>
      </c>
      <c r="G20" s="3">
        <v>90100.169227055725</v>
      </c>
      <c r="H20" s="3">
        <v>27801.998611389965</v>
      </c>
      <c r="I20" s="3">
        <v>19212.707012587023</v>
      </c>
      <c r="J20" s="3">
        <v>15104.620878212983</v>
      </c>
      <c r="K20" s="2">
        <v>628441.49777972745</v>
      </c>
    </row>
    <row r="21" spans="1:11" x14ac:dyDescent="0.3">
      <c r="A21" s="3">
        <v>2039</v>
      </c>
      <c r="B21" s="3">
        <v>206550.86404158958</v>
      </c>
      <c r="C21" s="3">
        <v>83638.440690666219</v>
      </c>
      <c r="D21" s="3">
        <v>51054.727365101382</v>
      </c>
      <c r="E21" s="3">
        <v>61577.552383317357</v>
      </c>
      <c r="F21" s="3">
        <v>65782.345347947004</v>
      </c>
      <c r="G21" s="3">
        <v>94305.849090050222</v>
      </c>
      <c r="H21" s="3">
        <v>28466.800043542509</v>
      </c>
      <c r="I21" s="3">
        <v>19867.460914303763</v>
      </c>
      <c r="J21" s="3">
        <v>15757.480972917143</v>
      </c>
      <c r="K21" s="2">
        <v>627001.52084943524</v>
      </c>
    </row>
    <row r="22" spans="1:11" x14ac:dyDescent="0.3">
      <c r="A22" s="3">
        <v>2040</v>
      </c>
      <c r="B22" s="3">
        <v>198408.41432018831</v>
      </c>
      <c r="C22" s="3">
        <v>81050.854729867133</v>
      </c>
      <c r="D22" s="3">
        <v>50906.631500253432</v>
      </c>
      <c r="E22" s="3">
        <v>62228.696107827309</v>
      </c>
      <c r="F22" s="3">
        <v>68420.283836647868</v>
      </c>
      <c r="G22" s="3">
        <v>98528.601768652807</v>
      </c>
      <c r="H22" s="3">
        <v>29128.908508651624</v>
      </c>
      <c r="I22" s="3">
        <v>20510.871237620504</v>
      </c>
      <c r="J22" s="3">
        <v>16417.8657914213</v>
      </c>
      <c r="K22" s="2">
        <v>625601.12780113029</v>
      </c>
    </row>
    <row r="23" spans="1:11" x14ac:dyDescent="0.3">
      <c r="A23" s="3">
        <v>2041</v>
      </c>
      <c r="B23" s="3">
        <v>189879.57051457229</v>
      </c>
      <c r="C23" s="3">
        <v>78288.841135744951</v>
      </c>
      <c r="D23" s="3">
        <v>50644.909790766978</v>
      </c>
      <c r="E23" s="3">
        <v>62726.585187771205</v>
      </c>
      <c r="F23" s="3">
        <v>70866.17131115419</v>
      </c>
      <c r="G23" s="3">
        <v>102538.79288372051</v>
      </c>
      <c r="H23" s="3">
        <v>29731.150660018571</v>
      </c>
      <c r="I23" s="3">
        <v>21113.49944598068</v>
      </c>
      <c r="J23" s="3">
        <v>17032.259693751283</v>
      </c>
      <c r="K23" s="2">
        <v>622821.78062348056</v>
      </c>
    </row>
    <row r="24" spans="1:11" x14ac:dyDescent="0.3">
      <c r="A24" s="3">
        <v>2042</v>
      </c>
      <c r="B24" s="3">
        <v>181472.38739110107</v>
      </c>
      <c r="C24" s="3">
        <v>75514.68261673901</v>
      </c>
      <c r="D24" s="3">
        <v>50381.612172890505</v>
      </c>
      <c r="E24" s="3">
        <v>63218.918534595097</v>
      </c>
      <c r="F24" s="3">
        <v>73339.656749569316</v>
      </c>
      <c r="G24" s="3">
        <v>106493.58732244845</v>
      </c>
      <c r="H24" s="3">
        <v>30318.746090703487</v>
      </c>
      <c r="I24" s="3">
        <v>21701.414442420861</v>
      </c>
      <c r="J24" s="3">
        <v>17633.877046801266</v>
      </c>
      <c r="K24" s="2">
        <v>620074.88236726914</v>
      </c>
    </row>
    <row r="25" spans="1:11" x14ac:dyDescent="0.3">
      <c r="A25" s="3">
        <v>2043</v>
      </c>
      <c r="B25" s="3">
        <v>173029.47060255881</v>
      </c>
      <c r="C25" s="3">
        <v>72790.318584640379</v>
      </c>
      <c r="D25" s="3">
        <v>50121.062595156298</v>
      </c>
      <c r="E25" s="3">
        <v>63714.277828298982</v>
      </c>
      <c r="F25" s="3">
        <v>75825.46437603698</v>
      </c>
      <c r="G25" s="3">
        <v>110405.23805667316</v>
      </c>
      <c r="H25" s="3">
        <v>30909.597103744272</v>
      </c>
      <c r="I25" s="3">
        <v>22285.818372621034</v>
      </c>
      <c r="J25" s="3">
        <v>18232.327095051245</v>
      </c>
      <c r="K25" s="2">
        <v>617313.5746147813</v>
      </c>
    </row>
    <row r="26" spans="1:11" x14ac:dyDescent="0.3">
      <c r="A26" s="3">
        <v>2044</v>
      </c>
      <c r="B26" s="3">
        <v>164684.16622354422</v>
      </c>
      <c r="C26" s="3">
        <v>70076.795254721525</v>
      </c>
      <c r="D26" s="3">
        <v>49859.298309160251</v>
      </c>
      <c r="E26" s="3">
        <v>64202.980663442868</v>
      </c>
      <c r="F26" s="3">
        <v>78262.432779930154</v>
      </c>
      <c r="G26" s="3">
        <v>114319.92943819067</v>
      </c>
      <c r="H26" s="3">
        <v>31492.070012870747</v>
      </c>
      <c r="I26" s="3">
        <v>22869.129742341214</v>
      </c>
      <c r="J26" s="3">
        <v>18828.604407461225</v>
      </c>
      <c r="K26" s="2">
        <v>614595.40683166287</v>
      </c>
    </row>
    <row r="27" spans="1:11" x14ac:dyDescent="0.3">
      <c r="A27" s="3">
        <v>2045</v>
      </c>
      <c r="B27" s="3">
        <v>156434.79575612932</v>
      </c>
      <c r="C27" s="3">
        <v>67358.727592532741</v>
      </c>
      <c r="D27" s="3">
        <v>49600.623493452615</v>
      </c>
      <c r="E27" s="3">
        <v>64686.278051546782</v>
      </c>
      <c r="F27" s="3">
        <v>80706.273781680764</v>
      </c>
      <c r="G27" s="3">
        <v>118186.9145562793</v>
      </c>
      <c r="H27" s="3">
        <v>32067.688846587374</v>
      </c>
      <c r="I27" s="3">
        <v>23443.522815421398</v>
      </c>
      <c r="J27" s="3">
        <v>19421.066506271211</v>
      </c>
      <c r="K27" s="2">
        <v>611905.89139990159</v>
      </c>
    </row>
    <row r="28" spans="1:11" x14ac:dyDescent="0.3">
      <c r="A28" s="3">
        <v>2046</v>
      </c>
      <c r="B28" s="3">
        <v>147968.73774155171</v>
      </c>
      <c r="C28" s="3">
        <v>64566.890769253972</v>
      </c>
      <c r="D28" s="3">
        <v>49242.815907069307</v>
      </c>
      <c r="E28" s="3">
        <v>65028.586359782617</v>
      </c>
      <c r="F28" s="3">
        <v>82895.984300327415</v>
      </c>
      <c r="G28" s="3">
        <v>121716.45484458806</v>
      </c>
      <c r="H28" s="3">
        <v>32578.442498562355</v>
      </c>
      <c r="I28" s="3">
        <v>23969.640241841666</v>
      </c>
      <c r="J28" s="3">
        <v>19967.067914766183</v>
      </c>
      <c r="K28" s="2">
        <v>607934.62057774328</v>
      </c>
    </row>
    <row r="29" spans="1:11" x14ac:dyDescent="0.3">
      <c r="A29" s="3">
        <v>2047</v>
      </c>
      <c r="B29" s="3">
        <v>139500.40892473821</v>
      </c>
      <c r="C29" s="3">
        <v>61779.943554028396</v>
      </c>
      <c r="D29" s="3">
        <v>48884.746897641453</v>
      </c>
      <c r="E29" s="3">
        <v>65362.404882098461</v>
      </c>
      <c r="F29" s="3">
        <v>85134.552242437392</v>
      </c>
      <c r="G29" s="3">
        <v>125217.71450855059</v>
      </c>
      <c r="H29" s="3">
        <v>33070.69193163835</v>
      </c>
      <c r="I29" s="3">
        <v>24486.276946021935</v>
      </c>
      <c r="J29" s="3">
        <v>20502.533107901156</v>
      </c>
      <c r="K29" s="2">
        <v>603939.272995056</v>
      </c>
    </row>
    <row r="30" spans="1:11" x14ac:dyDescent="0.3">
      <c r="A30" s="3">
        <v>2048</v>
      </c>
      <c r="B30" s="3">
        <v>131136.8983185096</v>
      </c>
      <c r="C30" s="3">
        <v>59016.414106322016</v>
      </c>
      <c r="D30" s="3">
        <v>48527.294953864388</v>
      </c>
      <c r="E30" s="3">
        <v>65693.532827294301</v>
      </c>
      <c r="F30" s="3">
        <v>87293.399383919459</v>
      </c>
      <c r="G30" s="3">
        <v>128673.88127517453</v>
      </c>
      <c r="H30" s="3">
        <v>33555.190567893871</v>
      </c>
      <c r="I30" s="3">
        <v>25001.788739602205</v>
      </c>
      <c r="J30" s="3">
        <v>21039.203114316129</v>
      </c>
      <c r="K30" s="2">
        <v>599937.60328689648</v>
      </c>
    </row>
    <row r="31" spans="1:11" x14ac:dyDescent="0.3">
      <c r="A31" s="3">
        <v>2049</v>
      </c>
      <c r="B31" s="3">
        <v>122932.29490187137</v>
      </c>
      <c r="C31" s="3">
        <v>56306.110958305668</v>
      </c>
      <c r="D31" s="3">
        <v>48174.057986806816</v>
      </c>
      <c r="E31" s="3">
        <v>66009.681178250146</v>
      </c>
      <c r="F31" s="3">
        <v>89382.872231106128</v>
      </c>
      <c r="G31" s="3">
        <v>132050.64882198052</v>
      </c>
      <c r="H31" s="3">
        <v>34041.131011972058</v>
      </c>
      <c r="I31" s="3">
        <v>25502.013763662471</v>
      </c>
      <c r="J31" s="3">
        <v>21569.069661211102</v>
      </c>
      <c r="K31" s="2">
        <v>595967.88051516621</v>
      </c>
    </row>
    <row r="32" spans="1:11" x14ac:dyDescent="0.3">
      <c r="A32" s="3">
        <v>2050</v>
      </c>
      <c r="B32" s="3">
        <v>114835.76140527037</v>
      </c>
      <c r="C32" s="3">
        <v>53599.590150276868</v>
      </c>
      <c r="D32" s="3">
        <v>47819.680597790168</v>
      </c>
      <c r="E32" s="3">
        <v>66318.413507125995</v>
      </c>
      <c r="F32" s="3">
        <v>91521.901832648218</v>
      </c>
      <c r="G32" s="3">
        <v>135405.63160223301</v>
      </c>
      <c r="H32" s="3">
        <v>34507.983433678484</v>
      </c>
      <c r="I32" s="3">
        <v>25993.587864122739</v>
      </c>
      <c r="J32" s="3">
        <v>22082.683840546073</v>
      </c>
      <c r="K32" s="2">
        <v>592085.23423369194</v>
      </c>
    </row>
    <row r="33" spans="1:11" x14ac:dyDescent="0.3">
      <c r="A33" s="3">
        <v>2051</v>
      </c>
      <c r="B33" s="3">
        <v>107064.32729229954</v>
      </c>
      <c r="C33" s="3">
        <v>51051.415193107103</v>
      </c>
      <c r="D33" s="3">
        <v>47562.501479401253</v>
      </c>
      <c r="E33" s="3">
        <v>66752.481781309878</v>
      </c>
      <c r="F33" s="3">
        <v>93724.757910357032</v>
      </c>
      <c r="G33" s="3">
        <v>138985.2506764608</v>
      </c>
      <c r="H33" s="3">
        <v>35039.359704755334</v>
      </c>
      <c r="I33" s="3">
        <v>26529.072027162918</v>
      </c>
      <c r="J33" s="3">
        <v>22641.959772276059</v>
      </c>
      <c r="K33" s="2">
        <v>589351.12583712989</v>
      </c>
    </row>
    <row r="34" spans="1:11" x14ac:dyDescent="0.3">
      <c r="A34" s="3">
        <v>2052</v>
      </c>
      <c r="B34" s="3">
        <v>99341.107375490639</v>
      </c>
      <c r="C34" s="3">
        <v>48487.567790274727</v>
      </c>
      <c r="D34" s="3">
        <v>47306.006890722179</v>
      </c>
      <c r="E34" s="3">
        <v>67183.79066509378</v>
      </c>
      <c r="F34" s="3">
        <v>95979.137992330056</v>
      </c>
      <c r="G34" s="3">
        <v>142583.69666243403</v>
      </c>
      <c r="H34" s="3">
        <v>35566.488614122674</v>
      </c>
      <c r="I34" s="3">
        <v>27059.882713923096</v>
      </c>
      <c r="J34" s="3">
        <v>23195.02178288604</v>
      </c>
      <c r="K34" s="2">
        <v>586702.70048727724</v>
      </c>
    </row>
    <row r="35" spans="1:11" x14ac:dyDescent="0.3">
      <c r="A35" s="3">
        <v>2053</v>
      </c>
      <c r="B35" s="3">
        <v>91661.225797240098</v>
      </c>
      <c r="C35" s="3">
        <v>45956.868228548781</v>
      </c>
      <c r="D35" s="3">
        <v>47051.549158578615</v>
      </c>
      <c r="E35" s="3">
        <v>67612.143215917662</v>
      </c>
      <c r="F35" s="3">
        <v>98218.103099733955</v>
      </c>
      <c r="G35" s="3">
        <v>146113.41329066869</v>
      </c>
      <c r="H35" s="3">
        <v>36088.563993962824</v>
      </c>
      <c r="I35" s="3">
        <v>27588.307403883271</v>
      </c>
      <c r="J35" s="3">
        <v>23744.25115985602</v>
      </c>
      <c r="K35" s="2">
        <v>584034.42534838989</v>
      </c>
    </row>
    <row r="36" spans="1:11" x14ac:dyDescent="0.3">
      <c r="A36" s="3">
        <v>2054</v>
      </c>
      <c r="B36" s="3">
        <v>83983.331158416084</v>
      </c>
      <c r="C36" s="3">
        <v>43431.609224157481</v>
      </c>
      <c r="D36" s="3">
        <v>46795.315366375398</v>
      </c>
      <c r="E36" s="3">
        <v>68024.216481301555</v>
      </c>
      <c r="F36" s="3">
        <v>100456.79479520094</v>
      </c>
      <c r="G36" s="3">
        <v>149631.05247458076</v>
      </c>
      <c r="H36" s="3">
        <v>36602.410864739541</v>
      </c>
      <c r="I36" s="3">
        <v>28112.954758963449</v>
      </c>
      <c r="J36" s="3">
        <v>24282.441003265998</v>
      </c>
      <c r="K36" s="2">
        <v>581320.12612700125</v>
      </c>
    </row>
    <row r="37" spans="1:11" x14ac:dyDescent="0.3">
      <c r="A37" s="3">
        <v>2055</v>
      </c>
      <c r="B37" s="3">
        <v>76408.237578609725</v>
      </c>
      <c r="C37" s="3">
        <v>40944.88338174126</v>
      </c>
      <c r="D37" s="3">
        <v>46542.657175368222</v>
      </c>
      <c r="E37" s="3">
        <v>68433.235661245461</v>
      </c>
      <c r="F37" s="3">
        <v>102656.93048977989</v>
      </c>
      <c r="G37" s="3">
        <v>153049.79943568012</v>
      </c>
      <c r="H37" s="3">
        <v>37119.128505179055</v>
      </c>
      <c r="I37" s="3">
        <v>28634.309227523634</v>
      </c>
      <c r="J37" s="3">
        <v>24819.599980795985</v>
      </c>
      <c r="K37" s="2">
        <v>578608.78143592342</v>
      </c>
    </row>
    <row r="38" spans="1:11" x14ac:dyDescent="0.3">
      <c r="A38" s="3">
        <v>2056</v>
      </c>
      <c r="B38" s="3">
        <v>69009.324608610448</v>
      </c>
      <c r="C38" s="3">
        <v>38518.917298017477</v>
      </c>
      <c r="D38" s="3">
        <v>46338.580084551795</v>
      </c>
      <c r="E38" s="3">
        <v>68910.326866723379</v>
      </c>
      <c r="F38" s="3">
        <v>104883.9358747081</v>
      </c>
      <c r="G38" s="3">
        <v>156628.14191826293</v>
      </c>
      <c r="H38" s="3">
        <v>37663.316293855853</v>
      </c>
      <c r="I38" s="3">
        <v>29179.194320733772</v>
      </c>
      <c r="J38" s="3">
        <v>25381.767473063472</v>
      </c>
      <c r="K38" s="2">
        <v>576513.50473852712</v>
      </c>
    </row>
    <row r="39" spans="1:11" x14ac:dyDescent="0.3">
      <c r="A39" s="3">
        <v>2057</v>
      </c>
      <c r="B39" s="3">
        <v>61650.214855984872</v>
      </c>
      <c r="C39" s="3">
        <v>36100.292979321122</v>
      </c>
      <c r="D39" s="3">
        <v>46132.683747952964</v>
      </c>
      <c r="E39" s="3">
        <v>69388.118231881293</v>
      </c>
      <c r="F39" s="3">
        <v>107121.06764135946</v>
      </c>
      <c r="G39" s="3">
        <v>160216.55378118716</v>
      </c>
      <c r="H39" s="3">
        <v>38211.782721788499</v>
      </c>
      <c r="I39" s="3">
        <v>29716.251068143905</v>
      </c>
      <c r="J39" s="3">
        <v>25937.792101130955</v>
      </c>
      <c r="K39" s="2">
        <v>574474.75712875021</v>
      </c>
    </row>
    <row r="40" spans="1:11" x14ac:dyDescent="0.3">
      <c r="A40" s="3">
        <v>2058</v>
      </c>
      <c r="B40" s="3">
        <v>54324.86347431055</v>
      </c>
      <c r="C40" s="3">
        <v>33707.133268241028</v>
      </c>
      <c r="D40" s="3">
        <v>45928.122278969931</v>
      </c>
      <c r="E40" s="3">
        <v>69855.811267519224</v>
      </c>
      <c r="F40" s="3">
        <v>109296.31995060145</v>
      </c>
      <c r="G40" s="3">
        <v>163755.09016991453</v>
      </c>
      <c r="H40" s="3">
        <v>38754.947861880464</v>
      </c>
      <c r="I40" s="3">
        <v>30255.975277714038</v>
      </c>
      <c r="J40" s="3">
        <v>26491.199855818442</v>
      </c>
      <c r="K40" s="2">
        <v>572369.46340496966</v>
      </c>
    </row>
    <row r="41" spans="1:11" x14ac:dyDescent="0.3">
      <c r="A41" s="3">
        <v>2059</v>
      </c>
      <c r="B41" s="3">
        <v>46987.708307483525</v>
      </c>
      <c r="C41" s="3">
        <v>31332.491317503733</v>
      </c>
      <c r="D41" s="3">
        <v>45724.694883525342</v>
      </c>
      <c r="E41" s="3">
        <v>70327.437537397142</v>
      </c>
      <c r="F41" s="3">
        <v>111521.4867295836</v>
      </c>
      <c r="G41" s="3">
        <v>167299.09028441584</v>
      </c>
      <c r="H41" s="3">
        <v>39295.852707639824</v>
      </c>
      <c r="I41" s="3">
        <v>30788.80860548417</v>
      </c>
      <c r="J41" s="3">
        <v>27034.57139266593</v>
      </c>
      <c r="K41" s="2">
        <v>570312.14176569914</v>
      </c>
    </row>
    <row r="42" spans="1:11" x14ac:dyDescent="0.3">
      <c r="A42" s="3">
        <v>2060</v>
      </c>
      <c r="B42" s="3">
        <v>39738.079048070722</v>
      </c>
      <c r="C42" s="3">
        <v>28975.832722757808</v>
      </c>
      <c r="D42" s="3">
        <v>45521.141112747478</v>
      </c>
      <c r="E42" s="3">
        <v>70783.393049035061</v>
      </c>
      <c r="F42" s="3">
        <v>113680.13107354964</v>
      </c>
      <c r="G42" s="3">
        <v>170785.49006265556</v>
      </c>
      <c r="H42" s="3">
        <v>39827.939177648346</v>
      </c>
      <c r="I42" s="3">
        <v>31316.727027874305</v>
      </c>
      <c r="J42" s="3">
        <v>27580.490670533418</v>
      </c>
      <c r="K42" s="2">
        <v>568209.22394487227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workbookViewId="0">
      <selection activeCell="N3" sqref="N3:U42"/>
    </sheetView>
  </sheetViews>
  <sheetFormatPr defaultRowHeight="14" x14ac:dyDescent="0.3"/>
  <cols>
    <col min="1" max="2" width="12.75" bestFit="1" customWidth="1"/>
    <col min="3" max="3" width="10.58203125" customWidth="1"/>
    <col min="4" max="4" width="11.1640625" customWidth="1"/>
    <col min="5" max="5" width="10.33203125" customWidth="1"/>
    <col min="6" max="6" width="10.83203125" customWidth="1"/>
    <col min="7" max="7" width="10.6640625" customWidth="1"/>
    <col min="8" max="8" width="10.58203125" customWidth="1"/>
    <col min="9" max="9" width="10.4140625" customWidth="1"/>
    <col min="10" max="10" width="9.1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284635.2917</v>
      </c>
      <c r="B2">
        <v>94986.880399999995</v>
      </c>
      <c r="C2">
        <v>41456.136460000002</v>
      </c>
      <c r="D2">
        <v>38058.293940000003</v>
      </c>
      <c r="E2">
        <v>10481.60471</v>
      </c>
      <c r="F2">
        <v>8940.4323960000002</v>
      </c>
      <c r="G2">
        <v>5523.0941140000004</v>
      </c>
      <c r="H2">
        <v>11973.768</v>
      </c>
      <c r="I2">
        <v>2258.409071</v>
      </c>
      <c r="J2">
        <f>SUM(A2:I2)</f>
        <v>498313.91079099994</v>
      </c>
    </row>
    <row r="3" spans="1:11" x14ac:dyDescent="0.3">
      <c r="A3">
        <v>292404.62766992999</v>
      </c>
      <c r="B3">
        <v>100352.46485257</v>
      </c>
      <c r="C3">
        <v>45034.639476149998</v>
      </c>
      <c r="D3">
        <v>48365.96261735</v>
      </c>
      <c r="E3">
        <v>11285.249204629999</v>
      </c>
      <c r="F3">
        <v>9643.3676640199992</v>
      </c>
      <c r="G3">
        <v>5696.2095410000002</v>
      </c>
      <c r="H3">
        <v>13104.089081870001</v>
      </c>
      <c r="I3">
        <v>2408.7951830100001</v>
      </c>
      <c r="J3">
        <f t="shared" ref="J3:J42" si="0">SUM(A3:I3)</f>
        <v>528295.40529052995</v>
      </c>
      <c r="K3">
        <v>515800</v>
      </c>
    </row>
    <row r="4" spans="1:11" x14ac:dyDescent="0.3">
      <c r="A4">
        <v>290223.69563085999</v>
      </c>
      <c r="B4">
        <v>105024.98070837</v>
      </c>
      <c r="C4">
        <v>45264.251193399999</v>
      </c>
      <c r="D4">
        <v>45793.607575820002</v>
      </c>
      <c r="E4">
        <v>11642.22891605</v>
      </c>
      <c r="F4">
        <v>10017.872429049999</v>
      </c>
      <c r="G4">
        <v>6115.5745624199999</v>
      </c>
      <c r="H4">
        <v>13191.232557359999</v>
      </c>
      <c r="I4">
        <v>2595.9445275100002</v>
      </c>
      <c r="J4">
        <f t="shared" si="0"/>
        <v>529869.38810083992</v>
      </c>
      <c r="K4">
        <v>533600</v>
      </c>
    </row>
    <row r="5" spans="1:11" x14ac:dyDescent="0.3">
      <c r="A5">
        <v>295465.02284355997</v>
      </c>
      <c r="B5">
        <v>111296.99149669</v>
      </c>
      <c r="C5">
        <v>46249.26911483</v>
      </c>
      <c r="D5">
        <v>46768.313658220002</v>
      </c>
      <c r="E5">
        <v>12524.6206824</v>
      </c>
      <c r="F5">
        <v>10782.062120860001</v>
      </c>
      <c r="G5">
        <v>6581.9145489599996</v>
      </c>
      <c r="H5">
        <v>14457.960606430001</v>
      </c>
      <c r="I5">
        <v>2721.9153099599998</v>
      </c>
      <c r="J5">
        <f t="shared" si="0"/>
        <v>546848.07038190996</v>
      </c>
      <c r="K5">
        <v>551400</v>
      </c>
    </row>
    <row r="6" spans="1:11" x14ac:dyDescent="0.3">
      <c r="A6">
        <v>294653.87492984999</v>
      </c>
      <c r="B6">
        <v>115066.77309502001</v>
      </c>
      <c r="C6">
        <v>48372.392594869998</v>
      </c>
      <c r="D6">
        <v>50487.450782690001</v>
      </c>
      <c r="E6">
        <v>12826.71040442</v>
      </c>
      <c r="F6">
        <v>11039.25575041</v>
      </c>
      <c r="G6">
        <v>6593.09079071</v>
      </c>
      <c r="H6">
        <v>15233.373494809999</v>
      </c>
      <c r="I6">
        <v>2832.11381953</v>
      </c>
      <c r="J6">
        <f t="shared" si="0"/>
        <v>557105.03566230985</v>
      </c>
      <c r="K6">
        <v>569200</v>
      </c>
    </row>
    <row r="7" spans="1:11" x14ac:dyDescent="0.3">
      <c r="A7">
        <v>285930.29253883002</v>
      </c>
      <c r="B7">
        <v>116415.04863104</v>
      </c>
      <c r="C7">
        <v>50211.784906740002</v>
      </c>
      <c r="D7">
        <v>51979.710717399998</v>
      </c>
      <c r="E7">
        <v>14313.696110569999</v>
      </c>
      <c r="F7">
        <v>11377.57617916</v>
      </c>
      <c r="G7">
        <v>7727.9044045399996</v>
      </c>
      <c r="H7">
        <v>15933.12926371</v>
      </c>
      <c r="I7">
        <v>2961.4358753000001</v>
      </c>
      <c r="J7">
        <f t="shared" si="0"/>
        <v>556850.57862728997</v>
      </c>
      <c r="K7">
        <v>587000</v>
      </c>
    </row>
    <row r="8" spans="1:11" x14ac:dyDescent="0.3">
      <c r="A8">
        <v>276740.58195427997</v>
      </c>
      <c r="B8">
        <v>118141.65655094</v>
      </c>
      <c r="C8">
        <v>50726.626699499997</v>
      </c>
      <c r="D8">
        <v>53578.055250719997</v>
      </c>
      <c r="E8">
        <v>15057.186854310001</v>
      </c>
      <c r="F8">
        <v>12885.648205699999</v>
      </c>
      <c r="G8">
        <v>7910.3207644200002</v>
      </c>
      <c r="H8">
        <v>16785.909340260001</v>
      </c>
      <c r="I8">
        <v>3212.55844467</v>
      </c>
      <c r="J8">
        <f t="shared" si="0"/>
        <v>555038.54406480002</v>
      </c>
      <c r="K8">
        <v>594600</v>
      </c>
    </row>
    <row r="9" spans="1:11" x14ac:dyDescent="0.3">
      <c r="A9">
        <v>266351.09551921999</v>
      </c>
      <c r="B9">
        <v>120236.64355302</v>
      </c>
      <c r="C9">
        <v>52665.230505500003</v>
      </c>
      <c r="D9">
        <v>55771.939384719997</v>
      </c>
      <c r="E9">
        <v>16074.11376303</v>
      </c>
      <c r="F9">
        <v>12930.513668969999</v>
      </c>
      <c r="G9">
        <v>8464.4432939100006</v>
      </c>
      <c r="H9">
        <v>17966.06429713</v>
      </c>
      <c r="I9">
        <v>3536.54279529</v>
      </c>
      <c r="J9">
        <f t="shared" si="0"/>
        <v>553996.58678078989</v>
      </c>
      <c r="K9">
        <v>602200</v>
      </c>
    </row>
    <row r="10" spans="1:11" x14ac:dyDescent="0.3">
      <c r="A10">
        <v>258681.81964547001</v>
      </c>
      <c r="B10">
        <v>123538.16992879999</v>
      </c>
      <c r="C10">
        <v>54585.822796710003</v>
      </c>
      <c r="D10">
        <v>59457.951563629998</v>
      </c>
      <c r="E10">
        <v>16651.34506833</v>
      </c>
      <c r="F10">
        <v>13751.41538687</v>
      </c>
      <c r="G10">
        <v>9003.8550907600002</v>
      </c>
      <c r="H10">
        <v>18986.64196755</v>
      </c>
      <c r="I10">
        <v>3748.3909578600001</v>
      </c>
      <c r="J10">
        <f t="shared" si="0"/>
        <v>558405.41240598017</v>
      </c>
      <c r="K10">
        <v>609800</v>
      </c>
    </row>
    <row r="11" spans="1:11" x14ac:dyDescent="0.3">
      <c r="A11">
        <v>250422.31651316999</v>
      </c>
      <c r="B11">
        <v>125783.62528017</v>
      </c>
      <c r="C11">
        <v>57661.987683740001</v>
      </c>
      <c r="D11">
        <v>62196.32808626</v>
      </c>
      <c r="E11">
        <v>17722.08536796</v>
      </c>
      <c r="F11">
        <v>14756.96121349</v>
      </c>
      <c r="G11">
        <v>9451.5157919499998</v>
      </c>
      <c r="H11">
        <v>19574.139687089999</v>
      </c>
      <c r="I11">
        <v>3686.0358834100002</v>
      </c>
      <c r="J11">
        <f t="shared" si="0"/>
        <v>561254.99550724006</v>
      </c>
      <c r="K11">
        <v>617400</v>
      </c>
    </row>
    <row r="12" spans="1:11" x14ac:dyDescent="0.3">
      <c r="A12">
        <v>236463.72074965999</v>
      </c>
      <c r="B12">
        <v>123424.22088949</v>
      </c>
      <c r="C12">
        <v>59815.004875960003</v>
      </c>
      <c r="D12">
        <v>64994.845343950001</v>
      </c>
      <c r="E12">
        <v>18314.338680950001</v>
      </c>
      <c r="F12">
        <v>15363.235035010001</v>
      </c>
      <c r="G12">
        <v>9746.0114062299999</v>
      </c>
      <c r="H12">
        <v>21371.163113670002</v>
      </c>
      <c r="I12">
        <v>3938.1990950499999</v>
      </c>
      <c r="J12">
        <f t="shared" si="0"/>
        <v>553430.73918996984</v>
      </c>
      <c r="K12">
        <v>625000</v>
      </c>
    </row>
    <row r="13" spans="1:11" x14ac:dyDescent="0.3">
      <c r="A13">
        <v>226789.09605796001</v>
      </c>
      <c r="B13">
        <v>120963.96387678001</v>
      </c>
      <c r="C13">
        <v>62896.743724139997</v>
      </c>
      <c r="D13">
        <v>69830.979250029995</v>
      </c>
      <c r="E13">
        <v>20033.343870690001</v>
      </c>
      <c r="F13">
        <v>16441.649892090001</v>
      </c>
      <c r="G13">
        <v>10649.88739679</v>
      </c>
      <c r="H13">
        <v>23080.932164180002</v>
      </c>
      <c r="I13">
        <v>4342.0755232700003</v>
      </c>
      <c r="J13">
        <f t="shared" si="0"/>
        <v>555028.67175592994</v>
      </c>
      <c r="K13">
        <v>625000</v>
      </c>
    </row>
    <row r="14" spans="1:11" x14ac:dyDescent="0.3">
      <c r="A14">
        <v>209583.32370206001</v>
      </c>
      <c r="B14">
        <v>114247.52739942</v>
      </c>
      <c r="C14">
        <v>64159.714205199998</v>
      </c>
      <c r="D14">
        <v>72153.270107980003</v>
      </c>
      <c r="E14">
        <v>20798.63311115</v>
      </c>
      <c r="F14">
        <v>17388.80667365</v>
      </c>
      <c r="G14">
        <v>11670.9426736</v>
      </c>
      <c r="H14">
        <v>23739.447040499999</v>
      </c>
      <c r="I14">
        <v>5038.3909533200003</v>
      </c>
      <c r="J14">
        <f t="shared" si="0"/>
        <v>538780.05586687999</v>
      </c>
      <c r="K14">
        <v>625000</v>
      </c>
    </row>
    <row r="15" spans="1:11" x14ac:dyDescent="0.3">
      <c r="A15">
        <v>202277.89539878001</v>
      </c>
      <c r="B15">
        <v>112223.17236131</v>
      </c>
      <c r="C15">
        <v>67444.239116430006</v>
      </c>
      <c r="D15">
        <v>77492.957072859994</v>
      </c>
      <c r="E15">
        <v>22030.856663170001</v>
      </c>
      <c r="F15">
        <v>18339.760777349999</v>
      </c>
      <c r="G15">
        <v>13207.250747370001</v>
      </c>
      <c r="H15">
        <v>25770.915048319999</v>
      </c>
      <c r="I15">
        <v>4911.3508981100003</v>
      </c>
      <c r="J15">
        <f t="shared" si="0"/>
        <v>543698.39808369987</v>
      </c>
      <c r="K15">
        <v>626000</v>
      </c>
    </row>
    <row r="16" spans="1:11" x14ac:dyDescent="0.3">
      <c r="A16">
        <v>194949.7630867</v>
      </c>
      <c r="B16">
        <v>110151.5287699</v>
      </c>
      <c r="C16">
        <v>70232.840917230002</v>
      </c>
      <c r="D16">
        <v>82746.440540020005</v>
      </c>
      <c r="E16">
        <v>23500.219882310001</v>
      </c>
      <c r="F16">
        <v>19427.516960199999</v>
      </c>
      <c r="G16">
        <v>13360.067489569999</v>
      </c>
      <c r="H16">
        <v>27450.382423380001</v>
      </c>
      <c r="I16">
        <v>4782.1968397199998</v>
      </c>
      <c r="J16">
        <f t="shared" si="0"/>
        <v>546600.95690902998</v>
      </c>
      <c r="K16">
        <v>626000</v>
      </c>
    </row>
    <row r="17" spans="1:11" x14ac:dyDescent="0.3">
      <c r="A17">
        <v>186572.33430307999</v>
      </c>
      <c r="B17">
        <v>106862.02166627999</v>
      </c>
      <c r="C17">
        <v>71941.593493039996</v>
      </c>
      <c r="D17">
        <v>87295.704372420005</v>
      </c>
      <c r="E17">
        <v>25537.317224390001</v>
      </c>
      <c r="F17">
        <v>20717.10518798</v>
      </c>
      <c r="G17">
        <v>14218.75814487</v>
      </c>
      <c r="H17">
        <v>28979.346960579998</v>
      </c>
      <c r="I17">
        <v>5262.49682923</v>
      </c>
      <c r="J17">
        <f t="shared" si="0"/>
        <v>547386.67818187003</v>
      </c>
      <c r="K17">
        <v>626000</v>
      </c>
    </row>
    <row r="18" spans="1:11" x14ac:dyDescent="0.3">
      <c r="A18">
        <v>181110.95713483999</v>
      </c>
      <c r="B18">
        <v>104601.83787011</v>
      </c>
      <c r="C18">
        <v>75417.339143930003</v>
      </c>
      <c r="D18">
        <v>93829.085510959994</v>
      </c>
      <c r="E18">
        <v>27122.630518689999</v>
      </c>
      <c r="F18">
        <v>23168.012715919998</v>
      </c>
      <c r="G18">
        <v>14638.487279290001</v>
      </c>
      <c r="H18">
        <v>30456.388973000001</v>
      </c>
      <c r="I18">
        <v>5748.7469497000002</v>
      </c>
      <c r="J18">
        <f t="shared" si="0"/>
        <v>556093.48609644</v>
      </c>
      <c r="K18">
        <v>625000</v>
      </c>
    </row>
    <row r="19" spans="1:11" x14ac:dyDescent="0.3">
      <c r="A19">
        <v>171077.90114037</v>
      </c>
      <c r="B19">
        <v>100704.79811934</v>
      </c>
      <c r="C19">
        <v>77805.851860840005</v>
      </c>
      <c r="D19">
        <v>98148.467537660006</v>
      </c>
      <c r="E19">
        <v>27742.73956134</v>
      </c>
      <c r="F19">
        <v>23499.994518560001</v>
      </c>
      <c r="G19">
        <v>15732.015085339999</v>
      </c>
      <c r="H19">
        <v>32099.193808870001</v>
      </c>
      <c r="I19">
        <v>6230.2169365299997</v>
      </c>
      <c r="J19">
        <f t="shared" si="0"/>
        <v>553041.17856885004</v>
      </c>
      <c r="K19">
        <v>624000</v>
      </c>
    </row>
    <row r="20" spans="1:11" x14ac:dyDescent="0.3">
      <c r="A20">
        <v>162443.57649174001</v>
      </c>
      <c r="B20">
        <v>95920.978835389993</v>
      </c>
      <c r="C20">
        <v>79689.610973319999</v>
      </c>
      <c r="D20">
        <v>103533.8905793</v>
      </c>
      <c r="E20">
        <v>30443.295449000001</v>
      </c>
      <c r="F20">
        <v>25342.974816490001</v>
      </c>
      <c r="G20">
        <v>16720.863710760001</v>
      </c>
      <c r="H20">
        <v>34496.344685409997</v>
      </c>
      <c r="I20">
        <v>6558.2379065300001</v>
      </c>
      <c r="J20">
        <f t="shared" si="0"/>
        <v>555149.77344794013</v>
      </c>
      <c r="K20">
        <v>623000</v>
      </c>
    </row>
    <row r="21" spans="1:11" x14ac:dyDescent="0.3">
      <c r="A21">
        <v>153639.43492803001</v>
      </c>
      <c r="B21">
        <v>91166.965644969998</v>
      </c>
      <c r="C21">
        <v>79943.48662204</v>
      </c>
      <c r="D21">
        <v>107226.29325726999</v>
      </c>
      <c r="E21">
        <v>33082.180076140001</v>
      </c>
      <c r="F21">
        <v>26406.30481827</v>
      </c>
      <c r="G21">
        <v>17028.29601908</v>
      </c>
      <c r="H21">
        <v>36637.821911610001</v>
      </c>
      <c r="I21">
        <v>6893.3473328500004</v>
      </c>
      <c r="J21">
        <f t="shared" si="0"/>
        <v>552024.13061025995</v>
      </c>
      <c r="K21">
        <v>621000</v>
      </c>
    </row>
    <row r="22" spans="1:11" x14ac:dyDescent="0.3">
      <c r="A22">
        <v>145869.88657064</v>
      </c>
      <c r="B22">
        <v>88745.698003020007</v>
      </c>
      <c r="C22">
        <v>80139.026361390002</v>
      </c>
      <c r="D22">
        <v>113868.49473691999</v>
      </c>
      <c r="E22">
        <v>33710.075490520001</v>
      </c>
      <c r="F22">
        <v>28041.783437059999</v>
      </c>
      <c r="G22">
        <v>18881.28297307</v>
      </c>
      <c r="H22">
        <v>39558.23576245</v>
      </c>
      <c r="I22">
        <v>7306.8245073500002</v>
      </c>
      <c r="J22">
        <f t="shared" si="0"/>
        <v>556121.30784241995</v>
      </c>
      <c r="K22">
        <v>620000</v>
      </c>
    </row>
    <row r="23" spans="1:11" x14ac:dyDescent="0.3">
      <c r="A23">
        <v>139614.11771123999</v>
      </c>
      <c r="B23">
        <v>87057.047284939996</v>
      </c>
      <c r="C23">
        <v>81147.720544459997</v>
      </c>
      <c r="D23">
        <v>120347.12383673999</v>
      </c>
      <c r="E23">
        <v>34808.936777720002</v>
      </c>
      <c r="F23">
        <v>30191.580175930001</v>
      </c>
      <c r="G23">
        <v>19506.48213135</v>
      </c>
      <c r="H23">
        <v>41759.4471491</v>
      </c>
      <c r="I23">
        <v>7784.93493184</v>
      </c>
      <c r="J23">
        <f t="shared" si="0"/>
        <v>562217.39054331998</v>
      </c>
      <c r="K23">
        <v>617600</v>
      </c>
    </row>
    <row r="24" spans="1:11" x14ac:dyDescent="0.3">
      <c r="A24">
        <v>133219.09032242</v>
      </c>
      <c r="B24">
        <v>83578.428096980002</v>
      </c>
      <c r="C24">
        <v>78739.035647440003</v>
      </c>
      <c r="D24">
        <v>125742.63114625</v>
      </c>
      <c r="E24">
        <v>38269.037721740002</v>
      </c>
      <c r="F24">
        <v>31974.79202479</v>
      </c>
      <c r="G24">
        <v>20726.452848820001</v>
      </c>
      <c r="H24">
        <v>44744.09695675</v>
      </c>
      <c r="I24">
        <v>8090.0240483899997</v>
      </c>
      <c r="J24">
        <f t="shared" si="0"/>
        <v>565083.58881357999</v>
      </c>
      <c r="K24">
        <v>615200</v>
      </c>
    </row>
    <row r="25" spans="1:11" x14ac:dyDescent="0.3">
      <c r="A25">
        <v>129066.01106621001</v>
      </c>
      <c r="B25">
        <v>81530.446363130002</v>
      </c>
      <c r="C25">
        <v>76505.082616579995</v>
      </c>
      <c r="D25">
        <v>134428.59153616001</v>
      </c>
      <c r="E25">
        <v>42291.628407720003</v>
      </c>
      <c r="F25">
        <v>34715.073516099998</v>
      </c>
      <c r="G25">
        <v>21955.204226580001</v>
      </c>
      <c r="H25">
        <v>47667.255580309997</v>
      </c>
      <c r="I25">
        <v>9285.2083617099997</v>
      </c>
      <c r="J25">
        <f t="shared" si="0"/>
        <v>577444.50167449994</v>
      </c>
      <c r="K25">
        <v>612799.99999999988</v>
      </c>
    </row>
    <row r="26" spans="1:11" x14ac:dyDescent="0.3">
      <c r="A26">
        <v>123023.40631760001</v>
      </c>
      <c r="B26">
        <v>79144.744324650004</v>
      </c>
      <c r="C26">
        <v>73622.018634819993</v>
      </c>
      <c r="D26">
        <v>141482.54843513999</v>
      </c>
      <c r="E26">
        <v>44427.637378079999</v>
      </c>
      <c r="F26">
        <v>36246.053206919998</v>
      </c>
      <c r="G26">
        <v>23806.50157117</v>
      </c>
      <c r="H26">
        <v>49130.522317919997</v>
      </c>
      <c r="I26">
        <v>9039.4000510000005</v>
      </c>
      <c r="J26">
        <f t="shared" si="0"/>
        <v>579922.83223729988</v>
      </c>
      <c r="K26">
        <v>610399.99999999988</v>
      </c>
    </row>
    <row r="27" spans="1:11" x14ac:dyDescent="0.3">
      <c r="A27">
        <v>120972.26433982</v>
      </c>
      <c r="B27">
        <v>78676.897032690002</v>
      </c>
      <c r="C27">
        <v>74175.927502870007</v>
      </c>
      <c r="D27">
        <v>152553.23128025999</v>
      </c>
      <c r="E27">
        <v>46999.19245748</v>
      </c>
      <c r="F27">
        <v>37107.833661860001</v>
      </c>
      <c r="G27">
        <v>24867.063221259999</v>
      </c>
      <c r="H27">
        <v>52167.950312770001</v>
      </c>
      <c r="I27">
        <v>9656.4551643600007</v>
      </c>
      <c r="J27">
        <f t="shared" si="0"/>
        <v>597176.81497336994</v>
      </c>
      <c r="K27">
        <v>608000</v>
      </c>
    </row>
    <row r="28" spans="1:11" x14ac:dyDescent="0.3">
      <c r="A28">
        <v>113134.65099091</v>
      </c>
      <c r="B28">
        <v>74901.873782830007</v>
      </c>
      <c r="C28">
        <v>71174.143670620004</v>
      </c>
      <c r="D28">
        <v>157887.72758691001</v>
      </c>
      <c r="E28">
        <v>47664.031829699998</v>
      </c>
      <c r="F28">
        <v>39306.172262259999</v>
      </c>
      <c r="G28">
        <v>26619.533655439998</v>
      </c>
      <c r="H28">
        <v>53315.472375830002</v>
      </c>
      <c r="I28">
        <v>10331.39660821</v>
      </c>
      <c r="J28">
        <f t="shared" si="0"/>
        <v>594335.00276271009</v>
      </c>
      <c r="K28">
        <v>604400</v>
      </c>
    </row>
    <row r="29" spans="1:11" x14ac:dyDescent="0.3">
      <c r="A29">
        <v>108063.40394184001</v>
      </c>
      <c r="B29">
        <v>72433.092617260001</v>
      </c>
      <c r="C29">
        <v>69758.246463279997</v>
      </c>
      <c r="D29">
        <v>168666.68754749</v>
      </c>
      <c r="E29">
        <v>51508.672748149998</v>
      </c>
      <c r="F29">
        <v>42185.346980219998</v>
      </c>
      <c r="G29">
        <v>28908.377334879999</v>
      </c>
      <c r="H29">
        <v>56401.385162680002</v>
      </c>
      <c r="I29">
        <v>10979.0204691</v>
      </c>
      <c r="J29">
        <f t="shared" si="0"/>
        <v>608904.23326490005</v>
      </c>
      <c r="K29">
        <v>600800</v>
      </c>
    </row>
    <row r="30" spans="1:11" x14ac:dyDescent="0.3">
      <c r="A30">
        <v>105537.6980738</v>
      </c>
      <c r="B30">
        <v>71567.349821259995</v>
      </c>
      <c r="C30">
        <v>69309.664461110006</v>
      </c>
      <c r="D30">
        <v>183193.44201649001</v>
      </c>
      <c r="E30">
        <v>55710.095202459997</v>
      </c>
      <c r="F30">
        <v>45749.510481040001</v>
      </c>
      <c r="G30">
        <v>30733.20482811</v>
      </c>
      <c r="H30">
        <v>61208.339292080003</v>
      </c>
      <c r="I30">
        <v>11622.700996539999</v>
      </c>
      <c r="J30">
        <f t="shared" si="0"/>
        <v>634632.00517289003</v>
      </c>
      <c r="K30">
        <v>597200</v>
      </c>
    </row>
    <row r="31" spans="1:11" x14ac:dyDescent="0.3">
      <c r="A31">
        <v>99680.557950849994</v>
      </c>
      <c r="B31">
        <v>68705.041305820007</v>
      </c>
      <c r="C31">
        <v>67803.038737030001</v>
      </c>
      <c r="D31">
        <v>192733.57989928999</v>
      </c>
      <c r="E31">
        <v>58852.161462379998</v>
      </c>
      <c r="F31">
        <v>47970.515558580002</v>
      </c>
      <c r="G31">
        <v>32984.678993219997</v>
      </c>
      <c r="H31">
        <v>64981.15646369</v>
      </c>
      <c r="I31">
        <v>12117.94736507</v>
      </c>
      <c r="J31">
        <f t="shared" si="0"/>
        <v>645828.67773592996</v>
      </c>
      <c r="K31">
        <v>593600</v>
      </c>
    </row>
    <row r="32" spans="1:11" x14ac:dyDescent="0.3">
      <c r="A32">
        <v>95125.945429300002</v>
      </c>
      <c r="B32">
        <v>67589.775828519996</v>
      </c>
      <c r="C32">
        <v>66169.494139050003</v>
      </c>
      <c r="D32">
        <v>203049.03483081999</v>
      </c>
      <c r="E32">
        <v>62625.111124570001</v>
      </c>
      <c r="F32">
        <v>50646.256518069997</v>
      </c>
      <c r="G32">
        <v>33994.981519330002</v>
      </c>
      <c r="H32">
        <v>68630.087974370006</v>
      </c>
      <c r="I32">
        <v>12744.47562549</v>
      </c>
      <c r="J32">
        <f t="shared" si="0"/>
        <v>660575.16298951989</v>
      </c>
      <c r="K32">
        <v>590000</v>
      </c>
    </row>
    <row r="33" spans="1:11" x14ac:dyDescent="0.3">
      <c r="A33">
        <v>89564.577960299997</v>
      </c>
      <c r="B33">
        <v>64804.744998189999</v>
      </c>
      <c r="C33">
        <v>64076.528765609997</v>
      </c>
      <c r="D33">
        <v>211992.89020341999</v>
      </c>
      <c r="E33">
        <v>65870.708585820001</v>
      </c>
      <c r="F33">
        <v>51813.587425279999</v>
      </c>
      <c r="G33">
        <v>37085.807140899997</v>
      </c>
      <c r="H33">
        <v>72163.243065789997</v>
      </c>
      <c r="I33">
        <v>13609.12249093</v>
      </c>
      <c r="J33">
        <f t="shared" si="0"/>
        <v>670981.21063624008</v>
      </c>
      <c r="K33">
        <v>587600</v>
      </c>
    </row>
    <row r="34" spans="1:11" x14ac:dyDescent="0.3">
      <c r="A34">
        <v>85885.170850480004</v>
      </c>
      <c r="B34">
        <v>62383.180838599998</v>
      </c>
      <c r="C34">
        <v>62509.336805049999</v>
      </c>
      <c r="D34">
        <v>224589.12684189001</v>
      </c>
      <c r="E34">
        <v>69265.555595769998</v>
      </c>
      <c r="F34">
        <v>55890.45562162</v>
      </c>
      <c r="G34">
        <v>39451.670528280003</v>
      </c>
      <c r="H34">
        <v>77278.142450750005</v>
      </c>
      <c r="I34">
        <v>14085.84328972</v>
      </c>
      <c r="J34">
        <f t="shared" si="0"/>
        <v>691338.48282216</v>
      </c>
      <c r="K34">
        <v>585200</v>
      </c>
    </row>
    <row r="35" spans="1:11" x14ac:dyDescent="0.3">
      <c r="A35">
        <v>82828.753963569994</v>
      </c>
      <c r="B35">
        <v>60517.838762120002</v>
      </c>
      <c r="C35">
        <v>62005.992420729999</v>
      </c>
      <c r="D35">
        <v>238053.41572960999</v>
      </c>
      <c r="E35">
        <v>73123.483212310006</v>
      </c>
      <c r="F35">
        <v>60438.465649899998</v>
      </c>
      <c r="G35">
        <v>42225.374991899997</v>
      </c>
      <c r="H35">
        <v>82301.910285089994</v>
      </c>
      <c r="I35">
        <v>15226.4698432</v>
      </c>
      <c r="J35">
        <f t="shared" si="0"/>
        <v>716721.70485842996</v>
      </c>
      <c r="K35">
        <v>582799.99999999988</v>
      </c>
    </row>
    <row r="36" spans="1:11" x14ac:dyDescent="0.3">
      <c r="A36">
        <v>80345.988315819995</v>
      </c>
      <c r="B36">
        <v>58011.462639290003</v>
      </c>
      <c r="C36">
        <v>60449.696653730003</v>
      </c>
      <c r="D36">
        <v>251057.12553317999</v>
      </c>
      <c r="E36">
        <v>77477.926144919998</v>
      </c>
      <c r="F36">
        <v>65098.865659130002</v>
      </c>
      <c r="G36">
        <v>44141.86984947</v>
      </c>
      <c r="H36">
        <v>87398.227742319999</v>
      </c>
      <c r="I36">
        <v>16424.720046229999</v>
      </c>
      <c r="J36">
        <f t="shared" si="0"/>
        <v>740405.88258409011</v>
      </c>
      <c r="K36">
        <v>580399.99999999988</v>
      </c>
    </row>
    <row r="37" spans="1:11" x14ac:dyDescent="0.3">
      <c r="A37">
        <v>77926.318966310006</v>
      </c>
      <c r="B37">
        <v>54920.048449080001</v>
      </c>
      <c r="C37">
        <v>59613.004096010001</v>
      </c>
      <c r="D37">
        <v>262935.28564028</v>
      </c>
      <c r="E37">
        <v>80819.983545829993</v>
      </c>
      <c r="F37">
        <v>68893.018750460004</v>
      </c>
      <c r="G37">
        <v>46947.446566619998</v>
      </c>
      <c r="H37">
        <v>92019.368484420003</v>
      </c>
      <c r="I37">
        <v>17062.297813990001</v>
      </c>
      <c r="J37">
        <f t="shared" si="0"/>
        <v>761136.77231300005</v>
      </c>
      <c r="K37">
        <v>578000</v>
      </c>
    </row>
    <row r="38" spans="1:11" x14ac:dyDescent="0.3">
      <c r="A38">
        <v>74456.127779460003</v>
      </c>
      <c r="B38">
        <v>52926.261493450002</v>
      </c>
      <c r="C38">
        <v>59407.274401210001</v>
      </c>
      <c r="D38">
        <v>274823.77828590001</v>
      </c>
      <c r="E38">
        <v>84970.994804589995</v>
      </c>
      <c r="F38">
        <v>73644.023960129998</v>
      </c>
      <c r="G38">
        <v>49630.338279260002</v>
      </c>
      <c r="H38">
        <v>96177.190427480004</v>
      </c>
      <c r="I38">
        <v>17807.424065520001</v>
      </c>
      <c r="J38">
        <f t="shared" si="0"/>
        <v>783843.41349700012</v>
      </c>
      <c r="K38">
        <v>576200</v>
      </c>
    </row>
    <row r="39" spans="1:11" x14ac:dyDescent="0.3">
      <c r="A39">
        <v>72865.392371640002</v>
      </c>
      <c r="B39">
        <v>50930.331098269999</v>
      </c>
      <c r="C39">
        <v>59119.118934240003</v>
      </c>
      <c r="D39">
        <v>291250.93895218999</v>
      </c>
      <c r="E39">
        <v>91642.556014019996</v>
      </c>
      <c r="F39">
        <v>77904.687339619995</v>
      </c>
      <c r="G39">
        <v>53176.219706540003</v>
      </c>
      <c r="H39">
        <v>102474.23644841</v>
      </c>
      <c r="I39">
        <v>19919.889698409999</v>
      </c>
      <c r="J39">
        <f t="shared" si="0"/>
        <v>819283.37056333991</v>
      </c>
      <c r="K39">
        <v>574400</v>
      </c>
    </row>
    <row r="40" spans="1:11" x14ac:dyDescent="0.3">
      <c r="A40">
        <v>72517.792860379996</v>
      </c>
      <c r="B40">
        <v>50074.260137030004</v>
      </c>
      <c r="C40">
        <v>59100.591170649997</v>
      </c>
      <c r="D40">
        <v>303814.58195253997</v>
      </c>
      <c r="E40">
        <v>97133.395818320001</v>
      </c>
      <c r="F40">
        <v>81873.422794700004</v>
      </c>
      <c r="G40">
        <v>56303.69337804</v>
      </c>
      <c r="H40">
        <v>107561.98712272001</v>
      </c>
      <c r="I40">
        <v>20590.080642860001</v>
      </c>
      <c r="J40">
        <f t="shared" si="0"/>
        <v>848969.80587724003</v>
      </c>
      <c r="K40">
        <v>572600</v>
      </c>
    </row>
    <row r="41" spans="1:11" x14ac:dyDescent="0.3">
      <c r="A41">
        <v>71964.688958519997</v>
      </c>
      <c r="B41">
        <v>49748.782195250002</v>
      </c>
      <c r="C41">
        <v>58957.072080639999</v>
      </c>
      <c r="D41">
        <v>319855.08123441</v>
      </c>
      <c r="E41">
        <v>103375.19962149</v>
      </c>
      <c r="F41">
        <v>87323.869511530007</v>
      </c>
      <c r="G41">
        <v>60411.58156151</v>
      </c>
      <c r="H41">
        <v>113765.34765606</v>
      </c>
      <c r="I41">
        <v>21656.278233249999</v>
      </c>
      <c r="J41">
        <f t="shared" si="0"/>
        <v>887057.90105266008</v>
      </c>
      <c r="K41">
        <v>570800</v>
      </c>
    </row>
    <row r="42" spans="1:11" x14ac:dyDescent="0.3">
      <c r="A42">
        <v>71578.106168939994</v>
      </c>
      <c r="B42">
        <v>49633.465726900002</v>
      </c>
      <c r="C42">
        <v>58675.569670850004</v>
      </c>
      <c r="D42">
        <v>328591.80360997003</v>
      </c>
      <c r="E42">
        <v>107037.14240307</v>
      </c>
      <c r="F42">
        <v>89938.313301910006</v>
      </c>
      <c r="G42">
        <v>62688.9747517</v>
      </c>
      <c r="H42">
        <v>117277.50513053</v>
      </c>
      <c r="I42">
        <v>22402.246113059999</v>
      </c>
      <c r="J42">
        <f t="shared" si="0"/>
        <v>907823.12687692989</v>
      </c>
      <c r="K42">
        <v>569000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F4FD6-1AE4-459A-896C-6CB68D3891F4}">
  <dimension ref="A1:J43"/>
  <sheetViews>
    <sheetView workbookViewId="0">
      <selection activeCell="M4" sqref="M4"/>
    </sheetView>
  </sheetViews>
  <sheetFormatPr defaultRowHeight="14" x14ac:dyDescent="0.3"/>
  <sheetData>
    <row r="1" spans="1:10" x14ac:dyDescent="0.3">
      <c r="A1" t="s">
        <v>0</v>
      </c>
      <c r="B1" t="s">
        <v>1</v>
      </c>
      <c r="C1" t="s">
        <v>2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</row>
    <row r="2" spans="1:10" x14ac:dyDescent="0.3">
      <c r="A2" s="1">
        <v>1.5076422066491912E-2</v>
      </c>
      <c r="B2">
        <v>2.2760900440314199E-2</v>
      </c>
      <c r="C2">
        <v>3.2307509834059001E-2</v>
      </c>
      <c r="D2" s="1">
        <v>2.7179228538977682E-2</v>
      </c>
      <c r="E2" s="1">
        <v>8.522347907476488E-2</v>
      </c>
      <c r="F2" s="1">
        <v>9.1349163917552295E-2</v>
      </c>
      <c r="G2">
        <v>2.44479737520789E-2</v>
      </c>
      <c r="H2">
        <v>4.4543277371757249E-2</v>
      </c>
      <c r="I2">
        <v>4.1840344036668045E-2</v>
      </c>
      <c r="J2">
        <v>515800</v>
      </c>
    </row>
    <row r="3" spans="1:10" x14ac:dyDescent="0.3">
      <c r="A3" s="1">
        <v>1.2175212568984807E-2</v>
      </c>
      <c r="B3">
        <v>2.02819214561419E-2</v>
      </c>
      <c r="C3">
        <v>3.0051923156275501E-2</v>
      </c>
      <c r="D3" s="1">
        <v>2.5503757447555862E-2</v>
      </c>
      <c r="E3" s="1">
        <v>9.0675890067968029E-2</v>
      </c>
      <c r="F3" s="1">
        <v>9.6226025701490903E-3</v>
      </c>
      <c r="G3">
        <v>2.4540589574026214E-2</v>
      </c>
      <c r="H3">
        <v>5.1332049306865232E-2</v>
      </c>
      <c r="I3">
        <v>4.4505121284931226E-2</v>
      </c>
      <c r="J3">
        <v>533600</v>
      </c>
    </row>
    <row r="4" spans="1:10" x14ac:dyDescent="0.3">
      <c r="A4" s="1">
        <v>1.1442374617904283E-2</v>
      </c>
      <c r="B4">
        <v>2.0703962591084299E-2</v>
      </c>
      <c r="C4">
        <v>2.8644842195133597E-2</v>
      </c>
      <c r="D4" s="1">
        <v>2.5613239257571242E-2</v>
      </c>
      <c r="E4" s="1">
        <v>9.2150807380211988E-2</v>
      </c>
      <c r="F4" s="1">
        <v>1.0539160302419999E-2</v>
      </c>
      <c r="G4">
        <v>2.5418161546948412E-2</v>
      </c>
      <c r="H4">
        <v>4.7842236951277158E-2</v>
      </c>
      <c r="I4">
        <v>3.7338912993483325E-2</v>
      </c>
      <c r="J4">
        <v>551400</v>
      </c>
    </row>
    <row r="5" spans="1:10" x14ac:dyDescent="0.3">
      <c r="A5" s="1">
        <v>9.6558218398720662E-3</v>
      </c>
      <c r="B5">
        <v>1.9729953840618195E-2</v>
      </c>
      <c r="C5">
        <v>2.735905964171035E-2</v>
      </c>
      <c r="D5" s="1">
        <v>2.7447484176603261E-2</v>
      </c>
      <c r="E5" s="1">
        <v>9.3743604410583603E-2</v>
      </c>
      <c r="F5" s="1">
        <v>1.2862461299150601E-2</v>
      </c>
      <c r="G5">
        <v>2.56600763941176E-2</v>
      </c>
      <c r="H5">
        <v>4.8426895589074044E-2</v>
      </c>
      <c r="I5">
        <v>3.9387961159296464E-2</v>
      </c>
      <c r="J5">
        <v>569200</v>
      </c>
    </row>
    <row r="6" spans="1:10" x14ac:dyDescent="0.3">
      <c r="A6" s="1">
        <v>9.3816422644881284E-3</v>
      </c>
      <c r="B6">
        <v>1.9965292143201731E-2</v>
      </c>
      <c r="C6">
        <v>2.5350499916822498E-2</v>
      </c>
      <c r="D6" s="1">
        <v>2.701275124280568E-2</v>
      </c>
      <c r="E6" s="1">
        <v>9.5146124859192008E-2</v>
      </c>
      <c r="F6" s="1">
        <v>1.2438890359100001E-2</v>
      </c>
      <c r="G6">
        <v>2.7373880721163899E-2</v>
      </c>
      <c r="H6">
        <v>4.7324311637469571E-2</v>
      </c>
      <c r="I6">
        <v>3.6649027054419948E-2</v>
      </c>
      <c r="J6">
        <v>587000</v>
      </c>
    </row>
    <row r="7" spans="1:10" x14ac:dyDescent="0.3">
      <c r="A7" s="1">
        <v>-1.419216599769431E-2</v>
      </c>
      <c r="B7">
        <v>1.782995784276183E-2</v>
      </c>
      <c r="C7">
        <v>2.5886289650463599E-2</v>
      </c>
      <c r="D7" s="1">
        <v>2.8324331886161413E-2</v>
      </c>
      <c r="E7" s="1">
        <v>9.8911327553727599E-2</v>
      </c>
      <c r="F7" s="1">
        <v>1.2790572898261699E-2</v>
      </c>
      <c r="G7">
        <v>2.7868297808861499E-2</v>
      </c>
      <c r="H7">
        <v>4.4051093118706891E-2</v>
      </c>
      <c r="I7">
        <v>3.7606215021026609E-2</v>
      </c>
      <c r="J7">
        <v>594600</v>
      </c>
    </row>
    <row r="8" spans="1:10" x14ac:dyDescent="0.3">
      <c r="A8" s="1">
        <v>-1.1989598473876007E-2</v>
      </c>
      <c r="B8">
        <v>1.5190850455061187E-2</v>
      </c>
      <c r="C8">
        <v>2.7550860315037999E-2</v>
      </c>
      <c r="D8" s="1">
        <v>2.7442182589625982E-2</v>
      </c>
      <c r="E8" s="1">
        <v>0.10051714700400001</v>
      </c>
      <c r="F8" s="1">
        <v>1.31781798683735E-2</v>
      </c>
      <c r="G8">
        <v>2.5019215188600199E-2</v>
      </c>
      <c r="H8">
        <v>3.9441826914681448E-2</v>
      </c>
      <c r="I8">
        <v>3.9646125760994126E-2</v>
      </c>
      <c r="J8">
        <v>602200</v>
      </c>
    </row>
    <row r="9" spans="1:10" x14ac:dyDescent="0.3">
      <c r="A9" s="1">
        <v>-1.092303263465896E-2</v>
      </c>
      <c r="B9">
        <v>1.5307435940849547E-2</v>
      </c>
      <c r="C9">
        <v>2.4954893211429699E-2</v>
      </c>
      <c r="D9" s="1">
        <v>2.5969988172424675E-2</v>
      </c>
      <c r="E9" s="1">
        <v>9.7327375886276407E-2</v>
      </c>
      <c r="F9" s="1">
        <v>1.18274777775E-2</v>
      </c>
      <c r="G9">
        <v>3.1242263199128401E-2</v>
      </c>
      <c r="H9">
        <v>4.5893085499230948E-2</v>
      </c>
      <c r="I9">
        <v>3.73503696438287E-2</v>
      </c>
      <c r="J9">
        <v>609800</v>
      </c>
    </row>
    <row r="10" spans="1:10" x14ac:dyDescent="0.3">
      <c r="A10" s="1">
        <v>-1.0336491130504258E-2</v>
      </c>
      <c r="B10">
        <v>1.5153809190649074E-2</v>
      </c>
      <c r="C10">
        <v>2.4614669087521801E-2</v>
      </c>
      <c r="D10" s="1">
        <v>2.4646125044132022E-2</v>
      </c>
      <c r="E10" s="1">
        <v>9.6638341309717199E-2</v>
      </c>
      <c r="F10" s="1">
        <v>1.0774769418252899E-2</v>
      </c>
      <c r="G10">
        <v>2.5729270657779999E-2</v>
      </c>
      <c r="H10">
        <v>4.2603847405730463E-2</v>
      </c>
      <c r="I10">
        <v>3.3105204491782746E-2</v>
      </c>
      <c r="J10">
        <v>617400</v>
      </c>
    </row>
    <row r="11" spans="1:10" x14ac:dyDescent="0.3">
      <c r="A11" s="1">
        <v>-9.9290158497267224E-3</v>
      </c>
      <c r="B11">
        <v>1.4202551888971775E-2</v>
      </c>
      <c r="C11">
        <v>2.5357067233096001E-2</v>
      </c>
      <c r="D11" s="1">
        <v>2.309438460723295E-2</v>
      </c>
      <c r="E11" s="1">
        <v>9.372836586668E-2</v>
      </c>
      <c r="F11" s="1">
        <v>1.0300704616539501E-2</v>
      </c>
      <c r="G11">
        <v>3.0386186398123401E-2</v>
      </c>
      <c r="H11">
        <v>3.8181648096537915E-2</v>
      </c>
      <c r="I11">
        <v>3.7914794445374295E-2</v>
      </c>
      <c r="J11">
        <v>621000</v>
      </c>
    </row>
    <row r="12" spans="1:10" x14ac:dyDescent="0.3">
      <c r="A12" s="1">
        <v>-9.1944485021439246E-3</v>
      </c>
      <c r="B12">
        <v>-7.5804042174041405E-4</v>
      </c>
      <c r="C12">
        <v>2.2935813292833E-2</v>
      </c>
      <c r="D12" s="1">
        <v>2.1718487569058063E-2</v>
      </c>
      <c r="E12" s="1">
        <v>8.9373996342258705E-2</v>
      </c>
      <c r="F12" s="1">
        <v>9.6233419950094448E-2</v>
      </c>
      <c r="G12">
        <v>3.0914389927836187E-2</v>
      </c>
      <c r="H12">
        <v>4.4881995061961465E-2</v>
      </c>
      <c r="I12">
        <v>3.5874201129276292E-2</v>
      </c>
      <c r="J12">
        <v>623000</v>
      </c>
    </row>
    <row r="13" spans="1:10" x14ac:dyDescent="0.3">
      <c r="A13" s="1">
        <v>-8.614067948640872E-3</v>
      </c>
      <c r="B13">
        <v>-6.3041419752545404E-4</v>
      </c>
      <c r="C13">
        <v>2.3637030674686099E-2</v>
      </c>
      <c r="D13" s="1">
        <v>2.1155814710201601E-2</v>
      </c>
      <c r="E13" s="1">
        <v>8.7120928727609695E-2</v>
      </c>
      <c r="F13" s="1">
        <v>9.312859386568044E-2</v>
      </c>
      <c r="G13">
        <v>3.1958249534098628E-2</v>
      </c>
      <c r="H13">
        <v>4.4055716016480631E-2</v>
      </c>
      <c r="I13">
        <v>3.4809836404188152E-2</v>
      </c>
      <c r="J13">
        <v>624000</v>
      </c>
    </row>
    <row r="14" spans="1:10" x14ac:dyDescent="0.3">
      <c r="A14" s="1">
        <v>-8.6092230024235362E-3</v>
      </c>
      <c r="B14">
        <v>-6.2051021182576798E-4</v>
      </c>
      <c r="C14">
        <v>2.4895629369425801E-2</v>
      </c>
      <c r="D14" s="1">
        <v>2.6114052592845362E-2</v>
      </c>
      <c r="E14" s="1">
        <v>8.5544923410037596E-2</v>
      </c>
      <c r="F14" s="1">
        <v>9.0562525800975235E-2</v>
      </c>
      <c r="G14">
        <v>2.8784342943485999E-2</v>
      </c>
      <c r="H14">
        <v>4.1243815167447753E-2</v>
      </c>
      <c r="I14">
        <v>2.8547266354178081E-2</v>
      </c>
      <c r="J14">
        <v>625000</v>
      </c>
    </row>
    <row r="15" spans="1:10" x14ac:dyDescent="0.3">
      <c r="A15" s="1">
        <v>-8.7560298238425292E-3</v>
      </c>
      <c r="B15">
        <v>-5.8845260270273597E-4</v>
      </c>
      <c r="C15">
        <v>2.3673118220533199E-2</v>
      </c>
      <c r="D15" s="1">
        <v>2.5853069987280382E-2</v>
      </c>
      <c r="E15" s="1">
        <v>8.3923482978107103E-2</v>
      </c>
      <c r="F15" s="1">
        <v>9.517363390214352E-2</v>
      </c>
      <c r="G15">
        <v>2.8568900553970201E-2</v>
      </c>
      <c r="H15">
        <v>4.0767365865922361E-2</v>
      </c>
      <c r="I15">
        <v>2.931580973728479E-2</v>
      </c>
      <c r="J15">
        <v>626000</v>
      </c>
    </row>
    <row r="16" spans="1:10" x14ac:dyDescent="0.3">
      <c r="A16" s="1">
        <v>-9.0514098512375993E-3</v>
      </c>
      <c r="B16">
        <v>-5.6789024135289604E-4</v>
      </c>
      <c r="C16">
        <v>2.1586713133402099E-2</v>
      </c>
      <c r="D16" s="1">
        <v>2.0523603455696381E-2</v>
      </c>
      <c r="E16" s="1">
        <v>7.9973092496616993E-2</v>
      </c>
      <c r="F16" s="1">
        <v>9.3794673514841997E-2</v>
      </c>
      <c r="G16">
        <v>3.14243093200531E-2</v>
      </c>
      <c r="H16">
        <v>3.9225521632943253E-2</v>
      </c>
      <c r="I16">
        <v>3.7979135973733327E-2</v>
      </c>
      <c r="J16">
        <v>625000</v>
      </c>
    </row>
    <row r="17" spans="1:10" x14ac:dyDescent="0.3">
      <c r="A17" s="1">
        <v>-9.5059543303672497E-3</v>
      </c>
      <c r="B17">
        <v>-4.2775931198792503E-3</v>
      </c>
      <c r="C17">
        <v>2.0233629592712001E-2</v>
      </c>
      <c r="D17" s="1">
        <v>1.9508757575633046E-2</v>
      </c>
      <c r="E17" s="1">
        <v>5.4261320976698571E-2</v>
      </c>
      <c r="F17" s="1">
        <v>7.8303571165049005E-2</v>
      </c>
      <c r="G17">
        <v>2.98397982473463E-2</v>
      </c>
      <c r="H17">
        <v>3.3484865990865136E-2</v>
      </c>
      <c r="I17">
        <v>3.850364183412025E-2</v>
      </c>
      <c r="J17">
        <v>625000</v>
      </c>
    </row>
    <row r="18" spans="1:10" x14ac:dyDescent="0.3">
      <c r="A18" s="1">
        <v>-1.5740399199568999E-2</v>
      </c>
      <c r="B18">
        <v>-4.293333451349516E-2</v>
      </c>
      <c r="C18">
        <v>1.9463598184923998E-2</v>
      </c>
      <c r="D18" s="1">
        <v>1.8128166185186475E-2</v>
      </c>
      <c r="E18" s="1">
        <v>5.3687619243033238E-2</v>
      </c>
      <c r="F18" s="1">
        <v>7.4329317180142906E-2</v>
      </c>
      <c r="G18">
        <v>2.2920078982193282E-2</v>
      </c>
      <c r="H18">
        <v>3.0260104496960975E-2</v>
      </c>
      <c r="I18">
        <v>3.7889813981505358E-2</v>
      </c>
      <c r="J18">
        <v>624000</v>
      </c>
    </row>
    <row r="19" spans="1:10" x14ac:dyDescent="0.3">
      <c r="A19" s="1">
        <v>-3.1065134546369801E-2</v>
      </c>
      <c r="B19">
        <v>-4.3348526225407795E-2</v>
      </c>
      <c r="C19">
        <v>1.8520568627005799E-2</v>
      </c>
      <c r="D19" s="1">
        <v>2.1416206610977522E-2</v>
      </c>
      <c r="E19" s="1">
        <v>5.8711967420399136E-2</v>
      </c>
      <c r="F19" s="1">
        <v>7.8424711821717133E-2</v>
      </c>
      <c r="G19">
        <v>2.3629448713781104E-2</v>
      </c>
      <c r="H19">
        <v>3.8118433847164276E-2</v>
      </c>
      <c r="I19">
        <v>3.7375005502399437E-2</v>
      </c>
      <c r="J19">
        <v>623000</v>
      </c>
    </row>
    <row r="20" spans="1:10" x14ac:dyDescent="0.3">
      <c r="A20" s="1">
        <v>-4.5814275654513299E-2</v>
      </c>
      <c r="B20">
        <v>-4.4210675528847491E-2</v>
      </c>
      <c r="C20">
        <v>1.7235841115831901E-2</v>
      </c>
      <c r="D20" s="1">
        <v>2.253686693506838E-2</v>
      </c>
      <c r="E20" s="1">
        <v>5.6596703305184841E-2</v>
      </c>
      <c r="F20" s="1">
        <v>7.7575842804419995E-2</v>
      </c>
      <c r="G20">
        <v>2.3984283050792345E-2</v>
      </c>
      <c r="H20">
        <v>3.48259717037879E-2</v>
      </c>
      <c r="I20">
        <v>3.6272902042212361E-2</v>
      </c>
      <c r="J20">
        <v>621000</v>
      </c>
    </row>
    <row r="21" spans="1:10" x14ac:dyDescent="0.3">
      <c r="A21" s="1">
        <v>-5.6435777434033357E-2</v>
      </c>
      <c r="B21">
        <v>-4.6006350550094555E-2</v>
      </c>
      <c r="C21">
        <v>1.6596478262390399E-2</v>
      </c>
      <c r="D21" s="1">
        <v>2.0434677236278096E-2</v>
      </c>
      <c r="E21" s="1">
        <v>5.426836707223303E-2</v>
      </c>
      <c r="F21" s="1">
        <v>7.9351563971360006E-2</v>
      </c>
      <c r="G21">
        <v>2.3700605053169406E-2</v>
      </c>
      <c r="H21">
        <v>4.4717510071254248E-2</v>
      </c>
      <c r="I21">
        <v>3.7255783454865223E-2</v>
      </c>
      <c r="J21">
        <v>620000</v>
      </c>
    </row>
    <row r="22" spans="1:10" x14ac:dyDescent="0.3">
      <c r="A22" s="1">
        <v>-6.17079216278799E-2</v>
      </c>
      <c r="B22">
        <v>-4.712568891136977E-2</v>
      </c>
      <c r="C22">
        <v>-3.1561009081665779E-2</v>
      </c>
      <c r="D22" s="1">
        <v>1.9589482972883428E-2</v>
      </c>
      <c r="E22" s="1">
        <v>5.3938814796447868E-2</v>
      </c>
      <c r="F22" s="1">
        <v>7.6664051831626084E-2</v>
      </c>
      <c r="G22">
        <v>2.493140066207852E-2</v>
      </c>
      <c r="H22">
        <v>3.9175801854725009E-2</v>
      </c>
      <c r="I22">
        <v>3.6589408547087941E-2</v>
      </c>
      <c r="J22">
        <v>617600</v>
      </c>
    </row>
    <row r="23" spans="1:10" x14ac:dyDescent="0.3">
      <c r="A23" s="1">
        <v>-6.3724478380002697E-2</v>
      </c>
      <c r="B23">
        <v>-4.7948881480316827E-2</v>
      </c>
      <c r="C23">
        <v>-3.3848386261665822E-2</v>
      </c>
      <c r="D23" s="1">
        <v>1.9474598789734E-2</v>
      </c>
      <c r="E23" s="1">
        <v>5.1185966437478775E-2</v>
      </c>
      <c r="F23" s="1">
        <v>7.9063216912430803E-2</v>
      </c>
      <c r="G23">
        <v>2.568522548218579E-2</v>
      </c>
      <c r="H23">
        <v>4.0096041887559705E-2</v>
      </c>
      <c r="I23">
        <v>2.7819835274625816E-2</v>
      </c>
      <c r="J23">
        <v>615200</v>
      </c>
    </row>
    <row r="24" spans="1:10" x14ac:dyDescent="0.3">
      <c r="A24" s="1">
        <v>-6.2224046380732402E-2</v>
      </c>
      <c r="B24">
        <v>-4.9034647038920243E-2</v>
      </c>
      <c r="C24">
        <v>-3.4754214610228706E-2</v>
      </c>
      <c r="D24" s="1">
        <v>1.8674027765118759E-2</v>
      </c>
      <c r="E24" s="1">
        <v>5.2678277130296589E-2</v>
      </c>
      <c r="F24" s="1">
        <v>7.5701307742219601E-2</v>
      </c>
      <c r="G24">
        <v>2.35811867430059E-2</v>
      </c>
      <c r="H24">
        <v>3.6650465633540241E-2</v>
      </c>
      <c r="I24">
        <v>4.2431846011651307E-2</v>
      </c>
      <c r="J24">
        <v>612799.99999999988</v>
      </c>
    </row>
    <row r="25" spans="1:10" x14ac:dyDescent="0.3">
      <c r="A25" s="1">
        <v>-6.2067323798981298E-2</v>
      </c>
      <c r="B25">
        <v>-5.0537901148249173E-2</v>
      </c>
      <c r="C25">
        <v>-3.6540582528655358E-2</v>
      </c>
      <c r="D25" s="1">
        <v>2.1403462281293428E-2</v>
      </c>
      <c r="E25" s="1">
        <v>5.4722293561538488E-2</v>
      </c>
      <c r="F25" s="1">
        <v>7.4101294790862804E-2</v>
      </c>
      <c r="G25">
        <v>2.5355496845903332E-2</v>
      </c>
      <c r="H25">
        <v>3.9131114547101775E-2</v>
      </c>
      <c r="I25">
        <v>4.0088933693497093E-2</v>
      </c>
      <c r="J25">
        <v>610399.99999999988</v>
      </c>
    </row>
    <row r="26" spans="1:10" x14ac:dyDescent="0.3">
      <c r="A26" s="1">
        <v>-5.8884216947712703E-2</v>
      </c>
      <c r="B26">
        <v>-5.2099037132287536E-2</v>
      </c>
      <c r="C26">
        <v>-3.5295671922426435E-2</v>
      </c>
      <c r="D26" s="1">
        <v>1.7378754095834476E-2</v>
      </c>
      <c r="E26" s="1">
        <v>5.0682847593567254E-2</v>
      </c>
      <c r="F26" s="1">
        <v>7.3775842572991496E-2</v>
      </c>
      <c r="G26">
        <v>2.2416957706287623E-2</v>
      </c>
      <c r="H26">
        <v>3.4683065123639695E-2</v>
      </c>
      <c r="I26">
        <v>3.7810040268185609E-2</v>
      </c>
      <c r="J26">
        <v>608000</v>
      </c>
    </row>
    <row r="27" spans="1:10" x14ac:dyDescent="0.3">
      <c r="A27" s="1">
        <v>-6.2028314572817149E-2</v>
      </c>
      <c r="B27">
        <v>-5.3390069439234189E-2</v>
      </c>
      <c r="C27">
        <v>-4.4614670541489078E-2</v>
      </c>
      <c r="D27" s="1">
        <v>2.377914073403543E-2</v>
      </c>
      <c r="E27" s="1">
        <v>5.3781267440049726E-2</v>
      </c>
      <c r="F27" s="1">
        <v>7.5924190079194695E-2</v>
      </c>
      <c r="G27">
        <v>2.2995599035306943E-2</v>
      </c>
      <c r="H27">
        <v>4.0390141284390793E-2</v>
      </c>
      <c r="I27">
        <v>3.8968930880776749E-2</v>
      </c>
      <c r="J27">
        <v>604400</v>
      </c>
    </row>
    <row r="28" spans="1:10" x14ac:dyDescent="0.3">
      <c r="A28" s="1">
        <v>-5.9425089817986297E-2</v>
      </c>
      <c r="B28">
        <v>-5.4959131901101549E-2</v>
      </c>
      <c r="C28">
        <v>-4.003864225663193E-2</v>
      </c>
      <c r="D28" s="1">
        <v>2.0256930519529905E-2</v>
      </c>
      <c r="E28" s="1">
        <v>5.1684336362653807E-2</v>
      </c>
      <c r="F28" s="1">
        <v>7.3249938934513134E-2</v>
      </c>
      <c r="G28">
        <v>2.5855272421985331E-2</v>
      </c>
      <c r="H28">
        <v>3.5275819375271418E-2</v>
      </c>
      <c r="I28">
        <v>3.3850481137218176E-2</v>
      </c>
      <c r="J28">
        <v>600800</v>
      </c>
    </row>
    <row r="29" spans="1:10" x14ac:dyDescent="0.3">
      <c r="A29" s="1">
        <v>-5.6935437589679602E-2</v>
      </c>
      <c r="B29">
        <v>-5.392240608255975E-2</v>
      </c>
      <c r="C29">
        <v>-3.9032312700292164E-2</v>
      </c>
      <c r="D29" s="1">
        <v>1.7726380201730188E-2</v>
      </c>
      <c r="E29" s="1">
        <v>5.1146411108418666E-2</v>
      </c>
      <c r="F29" s="1">
        <v>8.1488187391019401E-2</v>
      </c>
      <c r="G29">
        <v>2.2589943683954412E-2</v>
      </c>
      <c r="H29">
        <v>4.3351779832664576E-2</v>
      </c>
      <c r="I29">
        <v>3.7786094938361103E-2</v>
      </c>
      <c r="J29">
        <v>597200</v>
      </c>
    </row>
    <row r="30" spans="1:10" x14ac:dyDescent="0.3">
      <c r="A30" s="1">
        <v>-6.0317569956339447E-2</v>
      </c>
      <c r="B30">
        <v>-5.4925025240830677E-2</v>
      </c>
      <c r="C30">
        <v>-3.8368256329061802E-2</v>
      </c>
      <c r="D30" s="1">
        <v>1.6843107683923809E-2</v>
      </c>
      <c r="E30" s="1">
        <v>5.0322256713255915E-2</v>
      </c>
      <c r="F30" s="1">
        <v>7.8547078519243502E-2</v>
      </c>
      <c r="G30">
        <v>2.202888651655828E-2</v>
      </c>
      <c r="H30">
        <v>3.7244455094304157E-2</v>
      </c>
      <c r="I30">
        <v>3.0248027565535723E-2</v>
      </c>
      <c r="J30">
        <v>593600</v>
      </c>
    </row>
    <row r="31" spans="1:10" x14ac:dyDescent="0.3">
      <c r="A31" s="1">
        <v>-6.057475911721296E-2</v>
      </c>
      <c r="B31">
        <v>-5.5968256781382682E-2</v>
      </c>
      <c r="C31">
        <v>-3.9206511389311395E-2</v>
      </c>
      <c r="D31" s="1">
        <v>1.9557350812943238E-2</v>
      </c>
      <c r="E31" s="1">
        <v>5.0479358351356002E-2</v>
      </c>
      <c r="F31" s="1">
        <v>7.7886605504107601E-2</v>
      </c>
      <c r="G31">
        <v>1.9934751602865116E-2</v>
      </c>
      <c r="H31">
        <v>3.150221831824937E-2</v>
      </c>
      <c r="I31">
        <v>3.6702397058784204E-2</v>
      </c>
      <c r="J31">
        <v>590000</v>
      </c>
    </row>
    <row r="32" spans="1:10" x14ac:dyDescent="0.3">
      <c r="A32" s="1">
        <v>-6.3844742164037502E-2</v>
      </c>
      <c r="B32">
        <v>-5.4137333502662727E-2</v>
      </c>
      <c r="C32">
        <v>-4.1604465455261377E-2</v>
      </c>
      <c r="D32" s="1">
        <v>2.2902629594594E-2</v>
      </c>
      <c r="E32" s="1">
        <v>5.1369183512660475E-2</v>
      </c>
      <c r="F32" s="1">
        <v>7.3048710555606605E-2</v>
      </c>
      <c r="G32">
        <v>2.7339660822513559E-2</v>
      </c>
      <c r="H32">
        <v>3.6359189203841957E-2</v>
      </c>
      <c r="I32">
        <v>3.6760590247322061E-2</v>
      </c>
      <c r="J32">
        <v>587600</v>
      </c>
    </row>
    <row r="33" spans="1:10" x14ac:dyDescent="0.3">
      <c r="A33" s="1">
        <v>-6.0948388376671513E-2</v>
      </c>
      <c r="B33">
        <v>-5.3930127725162307E-2</v>
      </c>
      <c r="C33">
        <v>-4.0382774315619416E-2</v>
      </c>
      <c r="D33" s="1">
        <v>1.8493526908393142E-2</v>
      </c>
      <c r="E33" s="1">
        <v>5.1168712765930095E-2</v>
      </c>
      <c r="F33" s="1">
        <v>7.8683380150413706E-2</v>
      </c>
      <c r="G33">
        <v>1.9182948287529259E-2</v>
      </c>
      <c r="H33">
        <v>3.976343680045711E-2</v>
      </c>
      <c r="I33">
        <v>3.4431106703137697E-2</v>
      </c>
      <c r="J33">
        <v>585200</v>
      </c>
    </row>
    <row r="34" spans="1:10" x14ac:dyDescent="0.3">
      <c r="A34" s="1">
        <v>-5.6789010015131203E-2</v>
      </c>
      <c r="B34">
        <v>-5.7117733687631705E-2</v>
      </c>
      <c r="C34">
        <v>-4.3332868162658543E-2</v>
      </c>
      <c r="D34" s="1">
        <v>1.8578668609358095E-2</v>
      </c>
      <c r="E34" s="1">
        <v>5.1580830289204758E-2</v>
      </c>
      <c r="F34" s="1">
        <v>8.1373643812642296E-2</v>
      </c>
      <c r="G34">
        <v>2.1141130934180866E-2</v>
      </c>
      <c r="H34">
        <v>3.6469998704496319E-2</v>
      </c>
      <c r="I34">
        <v>3.61872365120453E-2</v>
      </c>
      <c r="J34">
        <v>582799.99999999988</v>
      </c>
    </row>
    <row r="35" spans="1:10" x14ac:dyDescent="0.3">
      <c r="A35" s="1">
        <v>-5.6701705305633461E-2</v>
      </c>
      <c r="B35">
        <v>-5.786719991822005E-2</v>
      </c>
      <c r="C35">
        <v>-4.4443539380686639E-2</v>
      </c>
      <c r="D35" s="1">
        <v>1.9488112028780574E-2</v>
      </c>
      <c r="E35" s="1">
        <v>5.1312212331836755E-2</v>
      </c>
      <c r="F35" s="1">
        <v>7.7109833267875419E-2</v>
      </c>
      <c r="G35">
        <v>2.0666466663943086E-2</v>
      </c>
      <c r="H35">
        <v>3.4738368570091167E-2</v>
      </c>
      <c r="I35">
        <v>3.4567585534943913E-2</v>
      </c>
      <c r="J35">
        <v>580399.99999999988</v>
      </c>
    </row>
    <row r="36" spans="1:10" x14ac:dyDescent="0.3">
      <c r="A36" s="1">
        <v>-5.7815199675316245E-2</v>
      </c>
      <c r="B36">
        <v>-5.560458446422642E-2</v>
      </c>
      <c r="C36">
        <v>-4.0839981605147839E-2</v>
      </c>
      <c r="D36" s="1">
        <v>1.6488170558882763E-2</v>
      </c>
      <c r="E36" s="1">
        <v>5.0202161178029718E-2</v>
      </c>
      <c r="F36" s="1">
        <v>7.8282937082143705E-2</v>
      </c>
      <c r="G36">
        <v>1.9111943416169841E-2</v>
      </c>
      <c r="H36">
        <v>3.5036471162022742E-2</v>
      </c>
      <c r="I36">
        <v>3.4700056111072665E-2</v>
      </c>
      <c r="J36">
        <v>578000</v>
      </c>
    </row>
    <row r="37" spans="1:10" x14ac:dyDescent="0.3">
      <c r="A37" s="1">
        <v>-5.9036412819327984E-2</v>
      </c>
      <c r="B37">
        <v>-5.8367291543347022E-2</v>
      </c>
      <c r="C37">
        <v>-3.8700923236334964E-2</v>
      </c>
      <c r="D37" s="1">
        <v>1.8737319546866665E-2</v>
      </c>
      <c r="E37" s="1">
        <v>5.0049264313656375E-2</v>
      </c>
      <c r="F37" s="1">
        <v>6.9620704077257997E-2</v>
      </c>
      <c r="G37">
        <v>2.2453312510258599E-2</v>
      </c>
      <c r="H37">
        <v>3.0584833859951491E-2</v>
      </c>
      <c r="I37">
        <v>3.1000962089487508E-2</v>
      </c>
      <c r="J37">
        <v>576200</v>
      </c>
    </row>
    <row r="38" spans="1:10" x14ac:dyDescent="0.3">
      <c r="A38" s="1">
        <v>-5.5873350629217299E-2</v>
      </c>
      <c r="B38">
        <v>-5.6673376183506173E-2</v>
      </c>
      <c r="C38">
        <v>-4.0010006502082182E-2</v>
      </c>
      <c r="D38" s="1">
        <v>1.883184084187162E-2</v>
      </c>
      <c r="E38" s="1">
        <v>5.0529701635682947E-2</v>
      </c>
      <c r="F38" s="1">
        <v>7.1854842122650295E-2</v>
      </c>
      <c r="G38">
        <v>2.1483765417506125E-2</v>
      </c>
      <c r="H38">
        <v>3.6730567840879351E-2</v>
      </c>
      <c r="I38">
        <v>3.0970754173295076E-2</v>
      </c>
      <c r="J38">
        <v>574400</v>
      </c>
    </row>
    <row r="39" spans="1:10" x14ac:dyDescent="0.3">
      <c r="A39" s="1">
        <v>-5.4902580235621827E-2</v>
      </c>
      <c r="B39">
        <v>-5.4382756953870008E-2</v>
      </c>
      <c r="C39">
        <v>-3.9266224906868194E-2</v>
      </c>
      <c r="D39" s="1">
        <v>1.7453404506025335E-2</v>
      </c>
      <c r="E39" s="1">
        <v>5.1628152810006288E-2</v>
      </c>
      <c r="F39" s="1">
        <v>7.5094347452777196E-2</v>
      </c>
      <c r="G39">
        <v>2.3494859385632241E-2</v>
      </c>
      <c r="H39">
        <v>2.7853129012821227E-2</v>
      </c>
      <c r="I39">
        <v>3.4531454639283234E-2</v>
      </c>
      <c r="J39">
        <v>572600</v>
      </c>
    </row>
    <row r="40" spans="1:10" x14ac:dyDescent="0.3">
      <c r="A40" s="1">
        <v>-5.5733600432156902E-2</v>
      </c>
      <c r="B40">
        <v>-5.4843982090175367E-2</v>
      </c>
      <c r="C40">
        <v>-3.9873570182476864E-2</v>
      </c>
      <c r="D40" s="1">
        <v>1.8762155078038092E-2</v>
      </c>
      <c r="E40" s="1">
        <v>5.0132564986916955E-2</v>
      </c>
      <c r="F40" s="1">
        <v>7.6571623987153406E-2</v>
      </c>
      <c r="G40">
        <v>2.1938915596098493E-2</v>
      </c>
      <c r="H40">
        <v>3.2354229893812099E-2</v>
      </c>
      <c r="I40">
        <v>3.3564452860176355E-2</v>
      </c>
      <c r="J40">
        <v>570800</v>
      </c>
    </row>
    <row r="41" spans="1:10" x14ac:dyDescent="0.3">
      <c r="A41" s="1">
        <v>-5.4928691050006202E-2</v>
      </c>
      <c r="B41">
        <v>-5.2385648501447189E-2</v>
      </c>
      <c r="C41">
        <v>-4.0255602969481122E-2</v>
      </c>
      <c r="D41" s="1">
        <v>1.9744250231443331E-2</v>
      </c>
      <c r="E41" s="1">
        <v>4.9443404999800739E-2</v>
      </c>
      <c r="F41" s="1">
        <v>6.99396236676708E-2</v>
      </c>
      <c r="G41">
        <v>2.3147756011215808E-2</v>
      </c>
      <c r="H41">
        <v>2.853916074422258E-2</v>
      </c>
      <c r="I41">
        <v>3.1559708089575228E-2</v>
      </c>
      <c r="J41">
        <v>569000</v>
      </c>
    </row>
    <row r="42" spans="1:10" x14ac:dyDescent="0.3">
      <c r="E42" s="1"/>
    </row>
    <row r="43" spans="1:10" x14ac:dyDescent="0.3">
      <c r="E4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AF9DD-CB9B-471C-8405-E27C6B56DEDE}">
  <dimension ref="A2:V42"/>
  <sheetViews>
    <sheetView topLeftCell="A13" workbookViewId="0">
      <selection activeCell="B42" sqref="B42"/>
    </sheetView>
  </sheetViews>
  <sheetFormatPr defaultRowHeight="14" x14ac:dyDescent="0.3"/>
  <cols>
    <col min="1" max="1" width="10.1640625" bestFit="1" customWidth="1"/>
    <col min="5" max="6" width="9.1640625" bestFit="1" customWidth="1"/>
    <col min="10" max="10" width="9.1640625" bestFit="1" customWidth="1"/>
    <col min="13" max="13" width="9.1640625" bestFit="1" customWidth="1"/>
  </cols>
  <sheetData>
    <row r="2" spans="1:22" x14ac:dyDescent="0.3">
      <c r="A2">
        <v>284635.2917</v>
      </c>
      <c r="B2">
        <v>94986.880399999995</v>
      </c>
      <c r="C2">
        <v>41456.136460000002</v>
      </c>
      <c r="D2" s="1">
        <v>38058.293940000003</v>
      </c>
      <c r="E2" s="1">
        <v>10481.60471</v>
      </c>
      <c r="F2" s="1">
        <v>8940.4323960000002</v>
      </c>
      <c r="G2">
        <v>5523.0941140000004</v>
      </c>
      <c r="H2">
        <v>11973.768</v>
      </c>
      <c r="I2">
        <v>2258.409071</v>
      </c>
      <c r="J2">
        <f>SUM(A2:I2)</f>
        <v>498313.91079099994</v>
      </c>
      <c r="N2">
        <f>A2/J2</f>
        <v>0.57119676078916481</v>
      </c>
      <c r="O2">
        <f>B2/J2</f>
        <v>0.19061655382893547</v>
      </c>
      <c r="P2">
        <f>C2/J2</f>
        <v>8.319281393167309E-2</v>
      </c>
      <c r="Q2">
        <f>D2/J2</f>
        <v>7.6374135090044079E-2</v>
      </c>
      <c r="R2">
        <f>E2/J2</f>
        <v>2.103414029394041E-2</v>
      </c>
      <c r="S2">
        <f>F2/J2</f>
        <v>1.7941366280159389E-2</v>
      </c>
      <c r="T2">
        <f>H2/J2</f>
        <v>2.4028564606983192E-2</v>
      </c>
      <c r="U2">
        <f>G2/J2</f>
        <v>1.108356398325887E-2</v>
      </c>
      <c r="V2">
        <f>I2/J2</f>
        <v>4.5321011958408073E-3</v>
      </c>
    </row>
    <row r="3" spans="1:22" x14ac:dyDescent="0.3">
      <c r="A3">
        <f>A2*(1+Sheet2!A2)</f>
        <v>288926.57349268824</v>
      </c>
      <c r="B3">
        <f>B2*(1+Sheet2!B2)</f>
        <v>97148.867327920423</v>
      </c>
      <c r="C3">
        <f>C2*(1+Sheet2!C2)</f>
        <v>42795.480996363549</v>
      </c>
      <c r="D3" s="1">
        <f>D2*(1+Sheet2!D2)</f>
        <v>39092.68900879885</v>
      </c>
      <c r="E3" s="1">
        <f>E2*(1+Sheet2!E2)</f>
        <v>11374.883529672641</v>
      </c>
      <c r="F3" s="1">
        <f>F2*(1+Sheet2!F2)</f>
        <v>9757.1334204359991</v>
      </c>
      <c r="G3" s="1">
        <f>G2*(1+Sheet2!G2)</f>
        <v>5658.1225739293341</v>
      </c>
      <c r="H3" s="1">
        <f>H2*(1+Sheet2!H2)</f>
        <v>12507.118869209073</v>
      </c>
      <c r="I3" s="1">
        <f>I2*(1+Sheet2!I2)</f>
        <v>2352.901683506172</v>
      </c>
      <c r="J3">
        <f t="shared" ref="J3:J42" si="0">SUM(A3:I3)</f>
        <v>509613.77090252424</v>
      </c>
      <c r="K3">
        <v>515800</v>
      </c>
      <c r="N3">
        <f t="shared" ref="N3:N42" si="1">A3/J3</f>
        <v>0.56695205269080595</v>
      </c>
      <c r="O3">
        <f t="shared" ref="O3:O42" si="2">B3/J3</f>
        <v>0.19063234330553924</v>
      </c>
      <c r="P3">
        <f t="shared" ref="P3:P42" si="3">C3/J3</f>
        <v>8.3976304095105009E-2</v>
      </c>
      <c r="Q3">
        <f t="shared" ref="Q3:Q42" si="4">D3/J3</f>
        <v>7.6710425111876063E-2</v>
      </c>
      <c r="R3">
        <f t="shared" ref="R3:R42" si="5">E3/J3</f>
        <v>2.2320596850292647E-2</v>
      </c>
      <c r="S3">
        <f t="shared" ref="S3:S42" si="6">F3/J3</f>
        <v>1.9146133753717348E-2</v>
      </c>
      <c r="T3">
        <f t="shared" ref="T3:T42" si="7">H3/J3</f>
        <v>2.4542348702742096E-2</v>
      </c>
      <c r="U3">
        <f t="shared" ref="U3:U42" si="8">G3/J3</f>
        <v>1.1102766245717455E-2</v>
      </c>
      <c r="V3">
        <f t="shared" ref="V3:V42" si="9">I3/J3</f>
        <v>4.6170292442042748E-3</v>
      </c>
    </row>
    <row r="4" spans="1:22" x14ac:dyDescent="0.3">
      <c r="A4">
        <f>A3*(1+Sheet2!A3)</f>
        <v>292444.31594179018</v>
      </c>
      <c r="B4">
        <f>B3*(1+Sheet2!B3)</f>
        <v>99119.233024618443</v>
      </c>
      <c r="C4">
        <f>C3*(1+Sheet2!C3)</f>
        <v>44081.567502702113</v>
      </c>
      <c r="D4" s="1">
        <f>D3*(1+Sheet2!D3)</f>
        <v>40089.699467251987</v>
      </c>
      <c r="E4" s="1">
        <f>E3*(1+Sheet2!E3)</f>
        <v>12406.311218145178</v>
      </c>
      <c r="F4" s="1">
        <f>F3*(1+Sheet2!F3)</f>
        <v>9851.022437564774</v>
      </c>
      <c r="G4" s="1">
        <f>G3*(1+Sheet2!G3)</f>
        <v>5796.976237775667</v>
      </c>
      <c r="H4" s="1">
        <f>H3*(1+Sheet2!H3)</f>
        <v>13149.134911690137</v>
      </c>
      <c r="I4" s="1">
        <f>I3*(1+Sheet2!I3)</f>
        <v>2457.6178583021333</v>
      </c>
      <c r="J4">
        <f t="shared" si="0"/>
        <v>519395.87859984062</v>
      </c>
      <c r="K4">
        <v>533600</v>
      </c>
      <c r="N4">
        <f t="shared" si="1"/>
        <v>0.56304704752403079</v>
      </c>
      <c r="O4">
        <f t="shared" si="2"/>
        <v>0.19083561712468478</v>
      </c>
      <c r="P4">
        <f t="shared" si="3"/>
        <v>8.487084576322558E-2</v>
      </c>
      <c r="Q4">
        <f t="shared" si="4"/>
        <v>7.7185247552066905E-2</v>
      </c>
      <c r="R4">
        <f t="shared" si="5"/>
        <v>2.3886040935845395E-2</v>
      </c>
      <c r="S4">
        <f t="shared" si="6"/>
        <v>1.8966308443033143E-2</v>
      </c>
      <c r="T4">
        <f t="shared" si="7"/>
        <v>2.5316209568579683E-2</v>
      </c>
      <c r="U4">
        <f t="shared" si="8"/>
        <v>1.1160997760326559E-2</v>
      </c>
      <c r="V4">
        <f t="shared" si="9"/>
        <v>4.7316853282071605E-3</v>
      </c>
    </row>
    <row r="5" spans="1:22" x14ac:dyDescent="0.3">
      <c r="A5">
        <f>A4*(1+Sheet2!A4)</f>
        <v>295790.57335967285</v>
      </c>
      <c r="B5">
        <f>B4*(1+Sheet2!B4)</f>
        <v>101171.39391721711</v>
      </c>
      <c r="C5">
        <f>C4*(1+Sheet2!C4)</f>
        <v>45344.277047531141</v>
      </c>
      <c r="D5" s="1">
        <f>D4*(1+Sheet2!D4)</f>
        <v>41116.526531470838</v>
      </c>
      <c r="E5" s="1">
        <f>E4*(1+Sheet2!E4)</f>
        <v>13549.562813507437</v>
      </c>
      <c r="F5" s="1">
        <f>F4*(1+Sheet2!F4)</f>
        <v>9954.8439421770054</v>
      </c>
      <c r="G5" s="1">
        <f>G4*(1+Sheet2!G4)</f>
        <v>5944.3247162712705</v>
      </c>
      <c r="H5" s="1">
        <f>H4*(1+Sheet2!H4)</f>
        <v>13778.218939839528</v>
      </c>
      <c r="I5" s="1">
        <f>I4*(1+Sheet2!I4)</f>
        <v>2549.3826376845077</v>
      </c>
      <c r="J5">
        <f t="shared" si="0"/>
        <v>529199.10390537162</v>
      </c>
      <c r="K5">
        <v>551400</v>
      </c>
      <c r="N5">
        <f t="shared" si="1"/>
        <v>0.5589400495518686</v>
      </c>
      <c r="O5">
        <f>B5/J5</f>
        <v>0.19117831676318939</v>
      </c>
      <c r="P5">
        <f t="shared" si="3"/>
        <v>8.5684720009728793E-2</v>
      </c>
      <c r="Q5">
        <f t="shared" si="4"/>
        <v>7.7695759928616701E-2</v>
      </c>
      <c r="R5">
        <f t="shared" si="5"/>
        <v>2.5603903546915854E-2</v>
      </c>
      <c r="S5">
        <f t="shared" si="6"/>
        <v>1.8811150413355716E-2</v>
      </c>
      <c r="T5">
        <f t="shared" si="7"/>
        <v>2.6035983126500666E-2</v>
      </c>
      <c r="U5">
        <f t="shared" si="8"/>
        <v>1.1232680993606144E-2</v>
      </c>
      <c r="V5">
        <f t="shared" si="9"/>
        <v>4.8174356662183124E-3</v>
      </c>
    </row>
    <row r="6" spans="1:22" x14ac:dyDescent="0.3">
      <c r="A6">
        <f>A5*(1+Sheet2!A5)</f>
        <v>298646.67443794745</v>
      </c>
      <c r="B6">
        <f>B5*(1+Sheet2!B5)</f>
        <v>103167.5008491948</v>
      </c>
      <c r="C6">
        <f>C5*(1+Sheet2!C5)</f>
        <v>46584.853827684783</v>
      </c>
      <c r="D6" s="1">
        <f>D5*(1+Sheet2!D5)</f>
        <v>42245.071742840271</v>
      </c>
      <c r="E6" s="1">
        <f>E5*(1+Sheet2!E5)</f>
        <v>14819.747669833234</v>
      </c>
      <c r="F6" s="1">
        <f>F5*(1+Sheet2!F5)</f>
        <v>10082.887737122341</v>
      </c>
      <c r="G6" s="1">
        <f>G5*(1+Sheet2!G5)</f>
        <v>6096.8565426022324</v>
      </c>
      <c r="H6" s="1">
        <f>H5*(1+Sheet2!H5)</f>
        <v>14445.45530984254</v>
      </c>
      <c r="I6" s="1">
        <f>I5*(1+Sheet2!I5)</f>
        <v>2649.79762199781</v>
      </c>
      <c r="J6">
        <f t="shared" si="0"/>
        <v>538738.84573906555</v>
      </c>
      <c r="K6">
        <v>569200</v>
      </c>
      <c r="N6">
        <f t="shared" si="1"/>
        <v>0.55434405148240395</v>
      </c>
      <c r="O6">
        <f>B6/J6</f>
        <v>0.19149816588344412</v>
      </c>
      <c r="P6">
        <f t="shared" si="3"/>
        <v>8.6470196452564402E-2</v>
      </c>
      <c r="Q6">
        <f t="shared" si="4"/>
        <v>7.8414749701010755E-2</v>
      </c>
      <c r="R6">
        <f t="shared" si="5"/>
        <v>2.7508221816644491E-2</v>
      </c>
      <c r="S6">
        <f t="shared" si="6"/>
        <v>1.871572435674319E-2</v>
      </c>
      <c r="T6">
        <f t="shared" si="7"/>
        <v>2.6813465232910078E-2</v>
      </c>
      <c r="U6">
        <f t="shared" si="8"/>
        <v>1.1316905381564416E-2</v>
      </c>
      <c r="V6">
        <f t="shared" si="9"/>
        <v>4.9185196927143829E-3</v>
      </c>
    </row>
    <row r="7" spans="1:22" x14ac:dyDescent="0.3">
      <c r="A7">
        <f>A6*(1+Sheet2!A6)</f>
        <v>301448.47070100333</v>
      </c>
      <c r="B7">
        <f>B6*(1+Sheet2!B6)</f>
        <v>105227.27014333298</v>
      </c>
      <c r="C7">
        <f>C6*(1+Sheet2!C6)</f>
        <v>47765.803160768701</v>
      </c>
      <c r="D7" s="1">
        <f>D6*(1+Sheet2!D6)</f>
        <v>43386.227357064097</v>
      </c>
      <c r="E7" s="1">
        <f>E6*(1+Sheet2!E6)</f>
        <v>16229.789232008907</v>
      </c>
      <c r="F7" s="1">
        <f>F6*(1+Sheet2!F6)</f>
        <v>10208.307672187519</v>
      </c>
      <c r="G7" s="1">
        <f>G6*(1+Sheet2!G6)</f>
        <v>6263.7511663734731</v>
      </c>
      <c r="H7" s="1">
        <f>H6*(1+Sheet2!H6)</f>
        <v>15129.076538670668</v>
      </c>
      <c r="I7" s="1">
        <f>I6*(1+Sheet2!I6)</f>
        <v>2746.9101267351452</v>
      </c>
      <c r="J7">
        <f t="shared" si="0"/>
        <v>548405.60609814478</v>
      </c>
      <c r="K7">
        <v>587000</v>
      </c>
      <c r="N7">
        <f t="shared" si="1"/>
        <v>0.54968159943838169</v>
      </c>
      <c r="O7">
        <f t="shared" si="2"/>
        <v>0.19187854568448942</v>
      </c>
      <c r="P7">
        <f t="shared" si="3"/>
        <v>8.7099407135200493E-2</v>
      </c>
      <c r="Q7">
        <f t="shared" si="4"/>
        <v>7.9113391392464233E-2</v>
      </c>
      <c r="R7">
        <f t="shared" si="5"/>
        <v>2.9594499128997528E-2</v>
      </c>
      <c r="S7">
        <f t="shared" si="6"/>
        <v>1.8614521001743007E-2</v>
      </c>
      <c r="T7">
        <f t="shared" si="7"/>
        <v>2.7587384903507185E-2</v>
      </c>
      <c r="U7">
        <f t="shared" si="8"/>
        <v>1.1421748969598404E-2</v>
      </c>
      <c r="V7">
        <f t="shared" si="9"/>
        <v>5.0089023456181582E-3</v>
      </c>
    </row>
    <row r="8" spans="1:22" x14ac:dyDescent="0.3">
      <c r="A8">
        <f>A7*(1+Sheet2!A7)</f>
        <v>297170.26396506361</v>
      </c>
      <c r="B8">
        <f>B7*(1+Sheet2!B7)</f>
        <v>107103.46793389753</v>
      </c>
      <c r="C8">
        <f>C7*(1+Sheet2!C7)</f>
        <v>49002.282576775397</v>
      </c>
      <c r="D8" s="1">
        <f>D7*(1+Sheet2!D7)</f>
        <v>44615.113260014041</v>
      </c>
      <c r="E8" s="1">
        <f>E7*(1+Sheet2!E7)</f>
        <v>17835.099230864103</v>
      </c>
      <c r="F8" s="1">
        <f>F7*(1+Sheet2!F7)</f>
        <v>10338.877775636518</v>
      </c>
      <c r="G8" s="1">
        <f>G7*(1+Sheet2!G7)</f>
        <v>6438.3112492785731</v>
      </c>
      <c r="H8" s="1">
        <f>H7*(1+Sheet2!H7)</f>
        <v>15795.528898075692</v>
      </c>
      <c r="I8" s="1">
        <f>I7*(1+Sheet2!I7)</f>
        <v>2850.2110196045824</v>
      </c>
      <c r="J8">
        <f t="shared" si="0"/>
        <v>551149.15590921009</v>
      </c>
      <c r="K8">
        <v>594600</v>
      </c>
      <c r="N8">
        <f t="shared" si="1"/>
        <v>0.53918301566629989</v>
      </c>
      <c r="O8">
        <f t="shared" si="2"/>
        <v>0.19432755504671498</v>
      </c>
      <c r="P8">
        <f t="shared" si="3"/>
        <v>8.8909294428543881E-2</v>
      </c>
      <c r="Q8">
        <f t="shared" si="4"/>
        <v>8.0949254447127222E-2</v>
      </c>
      <c r="R8">
        <f t="shared" si="5"/>
        <v>3.2359841323610861E-2</v>
      </c>
      <c r="S8">
        <f t="shared" si="6"/>
        <v>1.8758765508006373E-2</v>
      </c>
      <c r="T8">
        <f t="shared" si="7"/>
        <v>2.8659263520087228E-2</v>
      </c>
      <c r="U8">
        <f t="shared" si="8"/>
        <v>1.1681613189913231E-2</v>
      </c>
      <c r="V8">
        <f t="shared" si="9"/>
        <v>5.1713968696961822E-3</v>
      </c>
    </row>
    <row r="9" spans="1:22" x14ac:dyDescent="0.3">
      <c r="A9">
        <f>A8*(1+Sheet2!A8)</f>
        <v>293607.31182174676</v>
      </c>
      <c r="B9">
        <f>B8*(1+Sheet2!B8)</f>
        <v>108730.4606984998</v>
      </c>
      <c r="C9">
        <f>C8*(1+Sheet2!C8)</f>
        <v>50352.337619166159</v>
      </c>
      <c r="D9" s="1">
        <f>D8*(1+Sheet2!D8)</f>
        <v>45839.449344352193</v>
      </c>
      <c r="E9" s="1">
        <f>E8*(1+Sheet2!E8)</f>
        <v>19627.832522083798</v>
      </c>
      <c r="F9" s="1">
        <f>F8*(1+Sheet2!F8)</f>
        <v>10475.125366600985</v>
      </c>
      <c r="G9" s="1">
        <f>G8*(1+Sheet2!G8)</f>
        <v>6599.392743875459</v>
      </c>
      <c r="H9" s="1">
        <f>H8*(1+Sheet2!H8)</f>
        <v>16418.533414899444</v>
      </c>
      <c r="I9" s="1">
        <f>I8*(1+Sheet2!I8)</f>
        <v>2963.210844133197</v>
      </c>
      <c r="J9">
        <f t="shared" si="0"/>
        <v>554613.65437535779</v>
      </c>
      <c r="K9">
        <v>602200</v>
      </c>
      <c r="N9">
        <f t="shared" si="1"/>
        <v>0.52939070198772253</v>
      </c>
      <c r="O9">
        <f t="shared" si="2"/>
        <v>0.19604721203800718</v>
      </c>
      <c r="P9">
        <f t="shared" si="3"/>
        <v>9.0788131921988577E-2</v>
      </c>
      <c r="Q9">
        <f t="shared" si="4"/>
        <v>8.2651137386762649E-2</v>
      </c>
      <c r="R9">
        <f t="shared" si="5"/>
        <v>3.5390099697761586E-2</v>
      </c>
      <c r="S9">
        <f t="shared" si="6"/>
        <v>1.8887247517190606E-2</v>
      </c>
      <c r="T9">
        <f t="shared" si="7"/>
        <v>2.9603550661570117E-2</v>
      </c>
      <c r="U9">
        <f t="shared" si="8"/>
        <v>1.189908090399997E-2</v>
      </c>
      <c r="V9">
        <f t="shared" si="9"/>
        <v>5.3428378849968254E-3</v>
      </c>
    </row>
    <row r="10" spans="1:22" x14ac:dyDescent="0.3">
      <c r="A10">
        <f>A9*(1+Sheet2!A9)</f>
        <v>290400.2295729433</v>
      </c>
      <c r="B10">
        <f>B9*(1+Sheet2!B9)</f>
        <v>110394.84526046115</v>
      </c>
      <c r="C10">
        <f>C9*(1+Sheet2!C9)</f>
        <v>51608.8748273983</v>
      </c>
      <c r="D10" s="1">
        <f>D9*(1+Sheet2!D9)</f>
        <v>47029.899301655481</v>
      </c>
      <c r="E10" s="1">
        <f>E9*(1+Sheet2!E9)</f>
        <v>21538.157955793529</v>
      </c>
      <c r="F10" s="1">
        <f>F9*(1+Sheet2!F9)</f>
        <v>10599.019679090985</v>
      </c>
      <c r="G10" s="1">
        <f>G9*(1+Sheet2!G9)</f>
        <v>6805.5727089340344</v>
      </c>
      <c r="H10" s="1">
        <f>H9*(1+Sheet2!H9)</f>
        <v>17172.030572681404</v>
      </c>
      <c r="I10" s="1">
        <f>I9*(1+Sheet2!I9)</f>
        <v>3073.8878644941733</v>
      </c>
      <c r="J10">
        <f t="shared" si="0"/>
        <v>558622.51774345245</v>
      </c>
      <c r="K10">
        <v>609800</v>
      </c>
      <c r="N10">
        <f t="shared" si="1"/>
        <v>0.51985056160287058</v>
      </c>
      <c r="O10">
        <f t="shared" si="2"/>
        <v>0.19761975529808487</v>
      </c>
      <c r="P10">
        <f t="shared" si="3"/>
        <v>9.2385955073690185E-2</v>
      </c>
      <c r="Q10">
        <f t="shared" si="4"/>
        <v>8.4189050401391047E-2</v>
      </c>
      <c r="R10">
        <f t="shared" si="5"/>
        <v>3.8555835598601727E-2</v>
      </c>
      <c r="S10">
        <f t="shared" si="6"/>
        <v>1.8973491655699042E-2</v>
      </c>
      <c r="T10">
        <f t="shared" si="7"/>
        <v>3.073995413226014E-2</v>
      </c>
      <c r="U10">
        <f t="shared" si="8"/>
        <v>1.2182775474975564E-2</v>
      </c>
      <c r="V10">
        <f t="shared" si="9"/>
        <v>5.5026207624266537E-3</v>
      </c>
    </row>
    <row r="11" spans="1:22" x14ac:dyDescent="0.3">
      <c r="A11">
        <f>A10*(1+Sheet2!A10)</f>
        <v>287398.51017566619</v>
      </c>
      <c r="B11">
        <f>B10*(1+Sheet2!B10)</f>
        <v>112067.74768116942</v>
      </c>
      <c r="C11">
        <f>C10*(1+Sheet2!C10)</f>
        <v>52879.210203254042</v>
      </c>
      <c r="D11" s="1">
        <f>D10*(1+Sheet2!D10)</f>
        <v>48189.004080657025</v>
      </c>
      <c r="E11" s="1">
        <f>E10*(1+Sheet2!E10)</f>
        <v>23619.569815508105</v>
      </c>
      <c r="F11" s="1">
        <f>F10*(1+Sheet2!F10)</f>
        <v>10713.221672192716</v>
      </c>
      <c r="G11" s="1">
        <f>G10*(1+Sheet2!G10)</f>
        <v>6980.6751311434</v>
      </c>
      <c r="H11" s="1">
        <f>H10*(1+Sheet2!H10)</f>
        <v>17903.62514284646</v>
      </c>
      <c r="I11" s="1">
        <f>I10*(1+Sheet2!I10)</f>
        <v>3175.6495508330622</v>
      </c>
      <c r="J11">
        <f t="shared" si="0"/>
        <v>562927.21345327038</v>
      </c>
      <c r="K11">
        <v>617400</v>
      </c>
      <c r="N11">
        <f t="shared" si="1"/>
        <v>0.51054293220720914</v>
      </c>
      <c r="O11">
        <f t="shared" si="2"/>
        <v>0.19908035178063455</v>
      </c>
      <c r="P11">
        <f t="shared" si="3"/>
        <v>9.393614119109138E-2</v>
      </c>
      <c r="Q11">
        <f t="shared" si="4"/>
        <v>8.5604324909151486E-2</v>
      </c>
      <c r="R11">
        <f t="shared" si="5"/>
        <v>4.1958479268774607E-2</v>
      </c>
      <c r="S11">
        <f t="shared" si="6"/>
        <v>1.9031273344332713E-2</v>
      </c>
      <c r="T11">
        <f t="shared" si="7"/>
        <v>3.1804511693469005E-2</v>
      </c>
      <c r="U11">
        <f t="shared" si="8"/>
        <v>1.2400670929231739E-2</v>
      </c>
      <c r="V11">
        <f t="shared" si="9"/>
        <v>5.6413146761054196E-3</v>
      </c>
    </row>
    <row r="12" spans="1:22" x14ac:dyDescent="0.3">
      <c r="A12">
        <f>A11*(1+Sheet2!A11)</f>
        <v>284544.92581294413</v>
      </c>
      <c r="B12">
        <f>B11*(1+Sheet2!B11)</f>
        <v>113659.39568269142</v>
      </c>
      <c r="C12">
        <f>C11*(1+Sheet2!C11)</f>
        <v>54220.071891610976</v>
      </c>
      <c r="D12" s="1">
        <f>D11*(1+Sheet2!D11)</f>
        <v>49301.899474735234</v>
      </c>
      <c r="E12" s="1">
        <f>E11*(1+Sheet2!E11)</f>
        <v>25833.393496789642</v>
      </c>
      <c r="F12" s="1">
        <f>F11*(1+Sheet2!F11)</f>
        <v>10823.575404129482</v>
      </c>
      <c r="G12" s="1">
        <f>G11*(1+Sheet2!G11)</f>
        <v>7192.791226863068</v>
      </c>
      <c r="H12" s="1">
        <f>H11*(1+Sheet2!H11)</f>
        <v>18587.215057702953</v>
      </c>
      <c r="I12" s="1">
        <f>I11*(1+Sheet2!I11)</f>
        <v>3296.0536507834431</v>
      </c>
      <c r="J12">
        <f t="shared" si="0"/>
        <v>567459.32169825037</v>
      </c>
      <c r="K12">
        <v>625000</v>
      </c>
      <c r="N12">
        <f t="shared" si="1"/>
        <v>0.50143669322653661</v>
      </c>
      <c r="O12">
        <f t="shared" si="2"/>
        <v>0.2002952305771275</v>
      </c>
      <c r="P12">
        <f t="shared" si="3"/>
        <v>9.5548825824810044E-2</v>
      </c>
      <c r="Q12">
        <f t="shared" si="4"/>
        <v>8.6881821462000394E-2</v>
      </c>
      <c r="R12">
        <f t="shared" si="5"/>
        <v>4.5524661432078284E-2</v>
      </c>
      <c r="S12">
        <f t="shared" si="6"/>
        <v>1.9073746769614226E-2</v>
      </c>
      <c r="T12">
        <f t="shared" si="7"/>
        <v>3.2755149747256788E-2</v>
      </c>
      <c r="U12">
        <f t="shared" si="8"/>
        <v>1.2675430558329738E-2</v>
      </c>
      <c r="V12">
        <f t="shared" si="9"/>
        <v>5.8084404022463801E-3</v>
      </c>
    </row>
    <row r="13" spans="1:22" x14ac:dyDescent="0.3">
      <c r="A13">
        <f>A12*(1+Sheet2!A12)</f>
        <v>281928.69214601064</v>
      </c>
      <c r="B13">
        <f>B12*(1+Sheet2!B12)</f>
        <v>113573.23726645335</v>
      </c>
      <c r="C13">
        <f>C12*(1+Sheet2!C12)</f>
        <v>55463.653337240947</v>
      </c>
      <c r="D13" s="1">
        <f>D12*(1+Sheet2!D12)</f>
        <v>50372.662165608228</v>
      </c>
      <c r="E13" s="1">
        <f>E12*(1+Sheet2!E12)</f>
        <v>28142.227112679848</v>
      </c>
      <c r="F13" s="1">
        <f>F12*(1+Sheet2!F12)</f>
        <v>11865.165081356588</v>
      </c>
      <c r="G13" s="1">
        <f>G12*(1+Sheet2!G12)</f>
        <v>7415.1519795198319</v>
      </c>
      <c r="H13" s="1">
        <f>H12*(1+Sheet2!H12)</f>
        <v>19421.446352138391</v>
      </c>
      <c r="I13" s="1">
        <f>I12*(1+Sheet2!I12)</f>
        <v>3414.2969423845338</v>
      </c>
      <c r="J13">
        <f t="shared" si="0"/>
        <v>571596.53238339245</v>
      </c>
      <c r="K13">
        <v>625000</v>
      </c>
      <c r="N13">
        <f t="shared" si="1"/>
        <v>0.49323023526830967</v>
      </c>
      <c r="O13">
        <f t="shared" si="2"/>
        <v>0.19869476253273571</v>
      </c>
      <c r="P13">
        <f t="shared" si="3"/>
        <v>9.7032872305878995E-2</v>
      </c>
      <c r="Q13">
        <f t="shared" si="4"/>
        <v>8.8126255692225375E-2</v>
      </c>
      <c r="R13">
        <f t="shared" si="5"/>
        <v>4.923442589012024E-2</v>
      </c>
      <c r="S13">
        <f t="shared" si="6"/>
        <v>2.0757937477126176E-2</v>
      </c>
      <c r="T13">
        <f t="shared" si="7"/>
        <v>3.3977544039948196E-2</v>
      </c>
      <c r="U13">
        <f t="shared" si="8"/>
        <v>1.2972702875926818E-2</v>
      </c>
      <c r="V13">
        <f t="shared" si="9"/>
        <v>5.9732639177286495E-3</v>
      </c>
    </row>
    <row r="14" spans="1:22" x14ac:dyDescent="0.3">
      <c r="A14">
        <f>A13*(1+Sheet2!A13)</f>
        <v>279500.13923519343</v>
      </c>
      <c r="B14">
        <f>B13*(1+Sheet2!B13)</f>
        <v>113501.63908522166</v>
      </c>
      <c r="C14">
        <f>C13*(1+Sheet2!C13)</f>
        <v>56774.649412503466</v>
      </c>
      <c r="D14" s="1">
        <f>D13*(1+Sheet2!D13)</f>
        <v>51438.336872843414</v>
      </c>
      <c r="E14" s="1">
        <f>E13*(1+Sheet2!E13)</f>
        <v>30594.004075199835</v>
      </c>
      <c r="F14" s="1">
        <f>F13*(1+Sheet2!F13)</f>
        <v>12970.1512213675</v>
      </c>
      <c r="G14" s="1">
        <f>G13*(1+Sheet2!G13)</f>
        <v>7652.1272568145923</v>
      </c>
      <c r="H14" s="1">
        <f>H13*(1+Sheet2!H13)</f>
        <v>20277.072077257515</v>
      </c>
      <c r="I14" s="1">
        <f>I13*(1+Sheet2!I13)</f>
        <v>3533.1480603842597</v>
      </c>
      <c r="J14">
        <f t="shared" si="0"/>
        <v>576241.26729678572</v>
      </c>
      <c r="K14">
        <v>625000</v>
      </c>
      <c r="N14">
        <f t="shared" si="1"/>
        <v>0.48504013005934277</v>
      </c>
      <c r="O14">
        <f t="shared" si="2"/>
        <v>0.19696895298330672</v>
      </c>
      <c r="P14">
        <f>C14/J14</f>
        <v>9.8525830471739545E-2</v>
      </c>
      <c r="Q14">
        <f t="shared" si="4"/>
        <v>8.9265277917610075E-2</v>
      </c>
      <c r="R14">
        <f t="shared" si="5"/>
        <v>5.3092351782995061E-2</v>
      </c>
      <c r="S14">
        <f t="shared" si="6"/>
        <v>2.2508195711515033E-2</v>
      </c>
      <c r="T14">
        <f t="shared" si="7"/>
        <v>3.5188510833976887E-2</v>
      </c>
      <c r="U14">
        <f t="shared" si="8"/>
        <v>1.3279380861963608E-2</v>
      </c>
      <c r="V14">
        <f t="shared" si="9"/>
        <v>6.1313693775502491E-3</v>
      </c>
    </row>
    <row r="15" spans="1:22" x14ac:dyDescent="0.3">
      <c r="A15">
        <f>A14*(1+Sheet2!A14)</f>
        <v>277093.86020730925</v>
      </c>
      <c r="B15">
        <f>B14*(1+Sheet2!B14)</f>
        <v>113431.21015911031</v>
      </c>
      <c r="C15">
        <f>C14*(1+Sheet2!C14)</f>
        <v>58188.090041856238</v>
      </c>
      <c r="D15" s="1">
        <f>D14*(1+Sheet2!D14)</f>
        <v>52781.600307229346</v>
      </c>
      <c r="E15" s="1">
        <f>E14*(1+Sheet2!E14)</f>
        <v>33211.165810619183</v>
      </c>
      <c r="F15" s="1">
        <f>F14*(1+Sheet2!F14)</f>
        <v>14144.760875995144</v>
      </c>
      <c r="G15" s="1">
        <f>G14*(1+Sheet2!G14)</f>
        <v>7872.3887120219397</v>
      </c>
      <c r="H15" s="1">
        <f>H14*(1+Sheet2!H14)</f>
        <v>21113.375890148938</v>
      </c>
      <c r="I15" s="1">
        <f>I14*(1+Sheet2!I14)</f>
        <v>3634.0097791327971</v>
      </c>
      <c r="J15">
        <f t="shared" si="0"/>
        <v>581470.46178342309</v>
      </c>
      <c r="K15">
        <v>626000</v>
      </c>
      <c r="N15">
        <f t="shared" si="1"/>
        <v>0.4765398733367075</v>
      </c>
      <c r="O15">
        <f t="shared" si="2"/>
        <v>0.19507647871089859</v>
      </c>
      <c r="P15">
        <f t="shared" si="3"/>
        <v>0.10007058632589529</v>
      </c>
      <c r="Q15">
        <f t="shared" si="4"/>
        <v>9.0772625225610512E-2</v>
      </c>
      <c r="R15">
        <f t="shared" si="5"/>
        <v>5.7115826156942689E-2</v>
      </c>
      <c r="S15">
        <f t="shared" si="6"/>
        <v>2.4325845946863524E-2</v>
      </c>
      <c r="T15">
        <f t="shared" si="7"/>
        <v>3.6310315446449824E-2</v>
      </c>
      <c r="U15">
        <f t="shared" si="8"/>
        <v>1.3538759454567312E-2</v>
      </c>
      <c r="V15">
        <f t="shared" si="9"/>
        <v>6.2496893960648607E-3</v>
      </c>
    </row>
    <row r="16" spans="1:22" x14ac:dyDescent="0.3">
      <c r="A16">
        <f>A15*(1+Sheet2!A15)</f>
        <v>274667.61810333043</v>
      </c>
      <c r="B16">
        <f>B15*(1+Sheet2!B15)</f>
        <v>113364.46126826447</v>
      </c>
      <c r="C16">
        <f>C15*(1+Sheet2!C15)</f>
        <v>59565.583576444129</v>
      </c>
      <c r="D16" s="1">
        <f>D15*(1+Sheet2!D15)</f>
        <v>54146.166714012805</v>
      </c>
      <c r="E16" s="1">
        <f>E15*(1+Sheet2!E15)</f>
        <v>35998.362519209775</v>
      </c>
      <c r="F16" s="1">
        <f>F15*(1+Sheet2!F15)</f>
        <v>15490.96916924047</v>
      </c>
      <c r="G16" s="1">
        <f>G15*(1+Sheet2!G15)</f>
        <v>8097.2942022578918</v>
      </c>
      <c r="H16" s="1">
        <f>H15*(1+Sheet2!H15)</f>
        <v>21974.112609727385</v>
      </c>
      <c r="I16" s="1">
        <f>I15*(1+Sheet2!I15)</f>
        <v>3740.5437184012862</v>
      </c>
      <c r="J16">
        <f t="shared" si="0"/>
        <v>587045.1118808887</v>
      </c>
      <c r="K16">
        <v>626000</v>
      </c>
      <c r="N16">
        <f t="shared" si="1"/>
        <v>0.46788162024430657</v>
      </c>
      <c r="O16">
        <f t="shared" si="2"/>
        <v>0.19311030613140695</v>
      </c>
      <c r="P16">
        <f t="shared" si="3"/>
        <v>0.10146679083247348</v>
      </c>
      <c r="Q16">
        <f t="shared" si="4"/>
        <v>9.2235103603075477E-2</v>
      </c>
      <c r="R16">
        <f t="shared" si="5"/>
        <v>6.1321288246266557E-2</v>
      </c>
      <c r="S16">
        <f t="shared" si="6"/>
        <v>2.6388038765210918E-2</v>
      </c>
      <c r="T16">
        <f t="shared" si="7"/>
        <v>3.7431727417544573E-2</v>
      </c>
      <c r="U16">
        <f t="shared" si="8"/>
        <v>1.3793308279689467E-2</v>
      </c>
      <c r="V16">
        <f t="shared" si="9"/>
        <v>6.3718164800258851E-3</v>
      </c>
    </row>
    <row r="17" spans="1:22" x14ac:dyDescent="0.3">
      <c r="A17">
        <f>A16*(1+Sheet2!A16)</f>
        <v>272181.48891901399</v>
      </c>
      <c r="B17">
        <f>B16*(1+Sheet2!B16)</f>
        <v>113300.082696994</v>
      </c>
      <c r="C17">
        <f>C16*(1+Sheet2!C16)</f>
        <v>60851.408741732506</v>
      </c>
      <c r="D17" s="1">
        <f>D16*(1+Sheet2!D16)</f>
        <v>55257.441168297228</v>
      </c>
      <c r="E17" s="1">
        <f>E16*(1+Sheet2!E16)</f>
        <v>38877.262894685286</v>
      </c>
      <c r="F17" s="1">
        <f>F16*(1+Sheet2!F16)</f>
        <v>16943.939564897864</v>
      </c>
      <c r="G17" s="1">
        <f>G16*(1+Sheet2!G16)</f>
        <v>8351.7460799251166</v>
      </c>
      <c r="H17" s="1">
        <f>H16*(1+Sheet2!H16)</f>
        <v>22836.058639264978</v>
      </c>
      <c r="I17" s="1">
        <f>I16*(1+Sheet2!I16)</f>
        <v>3882.6063368981431</v>
      </c>
      <c r="J17">
        <f t="shared" si="0"/>
        <v>592482.0350417092</v>
      </c>
      <c r="K17">
        <v>626000</v>
      </c>
      <c r="N17">
        <f t="shared" si="1"/>
        <v>0.45939196941195548</v>
      </c>
      <c r="O17">
        <f t="shared" si="2"/>
        <v>0.19122956646106234</v>
      </c>
      <c r="P17">
        <f t="shared" si="3"/>
        <v>0.10270591366951527</v>
      </c>
      <c r="Q17">
        <f t="shared" si="4"/>
        <v>9.3264331912455783E-2</v>
      </c>
      <c r="R17">
        <f t="shared" si="5"/>
        <v>6.5617623143541262E-2</v>
      </c>
      <c r="S17">
        <f t="shared" si="6"/>
        <v>2.8598233469990453E-2</v>
      </c>
      <c r="T17">
        <f t="shared" si="7"/>
        <v>3.8543039769395507E-2</v>
      </c>
      <c r="U17">
        <f t="shared" si="8"/>
        <v>1.4096201379907115E-2</v>
      </c>
      <c r="V17">
        <f t="shared" si="9"/>
        <v>6.5531207821766576E-3</v>
      </c>
    </row>
    <row r="18" spans="1:22" x14ac:dyDescent="0.3">
      <c r="A18">
        <f>A17*(1+Sheet2!A17)</f>
        <v>269594.1441157785</v>
      </c>
      <c r="B18">
        <f>B17*(1+Sheet2!B17)</f>
        <v>112815.43104276758</v>
      </c>
      <c r="C18">
        <f>C17*(1+Sheet2!C17)</f>
        <v>62082.653606407432</v>
      </c>
      <c r="D18" s="1">
        <f>D17*(1+Sheet2!D17)</f>
        <v>56335.445192299339</v>
      </c>
      <c r="E18" s="1">
        <f>E17*(1+Sheet2!E17)</f>
        <v>40986.794535309302</v>
      </c>
      <c r="F18" s="1">
        <f>F17*(1+Sheet2!F17)</f>
        <v>18270.710542434135</v>
      </c>
      <c r="G18" s="1">
        <f>G17*(1+Sheet2!G17)</f>
        <v>8600.9604979631476</v>
      </c>
      <c r="H18" s="1">
        <f>H17*(1+Sheet2!H17)</f>
        <v>23600.721002560302</v>
      </c>
      <c r="I18" s="1">
        <f>I17*(1+Sheet2!I17)</f>
        <v>4032.1008206769548</v>
      </c>
      <c r="J18">
        <f t="shared" si="0"/>
        <v>596318.96135619679</v>
      </c>
      <c r="K18">
        <v>625000</v>
      </c>
      <c r="N18">
        <f t="shared" si="1"/>
        <v>0.45209721908330014</v>
      </c>
      <c r="O18">
        <f t="shared" si="2"/>
        <v>0.18918638908646071</v>
      </c>
      <c r="P18">
        <f t="shared" si="3"/>
        <v>0.10410980973205018</v>
      </c>
      <c r="Q18">
        <f t="shared" si="4"/>
        <v>9.4472000461257713E-2</v>
      </c>
      <c r="R18">
        <f t="shared" si="5"/>
        <v>6.8733005641970227E-2</v>
      </c>
      <c r="S18">
        <f t="shared" si="6"/>
        <v>3.0639157441650702E-2</v>
      </c>
      <c r="T18">
        <f t="shared" si="7"/>
        <v>3.9577344562188053E-2</v>
      </c>
      <c r="U18">
        <f t="shared" si="8"/>
        <v>1.4423422791054888E-2</v>
      </c>
      <c r="V18">
        <f t="shared" si="9"/>
        <v>6.7616512000672011E-3</v>
      </c>
    </row>
    <row r="19" spans="1:22" x14ac:dyDescent="0.3">
      <c r="A19">
        <f>A18*(1+Sheet2!A18)</f>
        <v>265350.62466552999</v>
      </c>
      <c r="B19">
        <f>B18*(1+Sheet2!B18)</f>
        <v>107971.8884035243</v>
      </c>
      <c r="C19">
        <f>C18*(1+Sheet2!C18)</f>
        <v>63291.005430456375</v>
      </c>
      <c r="D19" s="1">
        <f>D18*(1+Sheet2!D18)</f>
        <v>57356.703504861805</v>
      </c>
      <c r="E19" s="1">
        <f>E18*(1+Sheet2!E18)</f>
        <v>43187.277954313424</v>
      </c>
      <c r="F19" s="1">
        <f>F18*(1+Sheet2!F18)</f>
        <v>19628.759981449304</v>
      </c>
      <c r="G19" s="1">
        <f>G18*(1+Sheet2!G18)</f>
        <v>8798.0951918991868</v>
      </c>
      <c r="H19" s="1">
        <f>H18*(1+Sheet2!H18)</f>
        <v>24314.881286301399</v>
      </c>
      <c r="I19" s="1">
        <f>I18*(1+Sheet2!I18)</f>
        <v>4184.87637072708</v>
      </c>
      <c r="J19">
        <f t="shared" si="0"/>
        <v>594084.1127890629</v>
      </c>
      <c r="K19">
        <v>624000</v>
      </c>
      <c r="N19">
        <f t="shared" si="1"/>
        <v>0.44665497520171205</v>
      </c>
      <c r="O19">
        <f t="shared" si="2"/>
        <v>0.1817451200582115</v>
      </c>
      <c r="P19">
        <f t="shared" si="3"/>
        <v>0.10653542834754891</v>
      </c>
      <c r="Q19">
        <f t="shared" si="4"/>
        <v>9.654643554695938E-2</v>
      </c>
      <c r="R19">
        <f t="shared" si="5"/>
        <v>7.2695561158100885E-2</v>
      </c>
      <c r="S19">
        <f t="shared" si="6"/>
        <v>3.3040371824281968E-2</v>
      </c>
      <c r="T19">
        <f t="shared" si="7"/>
        <v>4.0928347960947249E-2</v>
      </c>
      <c r="U19">
        <f t="shared" si="8"/>
        <v>1.4809510980851733E-2</v>
      </c>
      <c r="V19">
        <f t="shared" si="9"/>
        <v>7.0442489213862775E-3</v>
      </c>
    </row>
    <row r="20" spans="1:22" x14ac:dyDescent="0.3">
      <c r="A20">
        <f>A19*(1+Sheet2!A19)</f>
        <v>257107.47180833202</v>
      </c>
      <c r="B20">
        <f>B19*(1+Sheet2!B19)</f>
        <v>103291.46616745733</v>
      </c>
      <c r="C20">
        <f>C19*(1+Sheet2!C19)</f>
        <v>64463.190840003335</v>
      </c>
      <c r="D20" s="1">
        <f>D19*(1+Sheet2!D19)</f>
        <v>58585.066517646505</v>
      </c>
      <c r="E20" s="1">
        <f>E19*(1+Sheet2!E19)</f>
        <v>45722.888010542796</v>
      </c>
      <c r="F20" s="1">
        <f>F19*(1+Sheet2!F19)</f>
        <v>21168.13982641212</v>
      </c>
      <c r="G20" s="1">
        <f>G19*(1+Sheet2!G19)</f>
        <v>9005.9893310151328</v>
      </c>
      <c r="H20" s="1">
        <f>H19*(1+Sheet2!H19)</f>
        <v>25241.726480114932</v>
      </c>
      <c r="I20" s="1">
        <f>I19*(1+Sheet2!I19)</f>
        <v>4341.2861481098653</v>
      </c>
      <c r="J20">
        <f t="shared" si="0"/>
        <v>588927.22512963403</v>
      </c>
      <c r="K20">
        <v>623000</v>
      </c>
      <c r="N20">
        <f t="shared" si="1"/>
        <v>0.43656917329936273</v>
      </c>
      <c r="O20">
        <f t="shared" si="2"/>
        <v>0.17538918521676583</v>
      </c>
      <c r="P20">
        <f t="shared" si="3"/>
        <v>0.10945867008578822</v>
      </c>
      <c r="Q20">
        <f t="shared" si="4"/>
        <v>9.9477599298879116E-2</v>
      </c>
      <c r="R20">
        <f t="shared" si="5"/>
        <v>7.7637585867215295E-2</v>
      </c>
      <c r="S20">
        <f t="shared" si="6"/>
        <v>3.5943557918811805E-2</v>
      </c>
      <c r="T20">
        <f t="shared" si="7"/>
        <v>4.2860518928393487E-2</v>
      </c>
      <c r="U20">
        <f t="shared" si="8"/>
        <v>1.5292193919261831E-2</v>
      </c>
      <c r="V20">
        <f t="shared" si="9"/>
        <v>7.3715154655216797E-3</v>
      </c>
    </row>
    <row r="21" spans="1:22" x14ac:dyDescent="0.3">
      <c r="A21">
        <f>A20*(1+Sheet2!A20)</f>
        <v>245328.27922207006</v>
      </c>
      <c r="B21">
        <f>B20*(1+Sheet2!B20)</f>
        <v>98724.880671828942</v>
      </c>
      <c r="C21">
        <f>C20*(1+Sheet2!C20)</f>
        <v>65574.268155141195</v>
      </c>
      <c r="D21" s="1">
        <f>D20*(1+Sheet2!D20)</f>
        <v>59905.390366136831</v>
      </c>
      <c r="E21" s="1">
        <f>E20*(1+Sheet2!E20)</f>
        <v>48310.65273753168</v>
      </c>
      <c r="F21" s="1">
        <f>F20*(1+Sheet2!F20)</f>
        <v>22810.276114047847</v>
      </c>
      <c r="G21" s="1">
        <f>G20*(1+Sheet2!G20)</f>
        <v>9221.9915282826169</v>
      </c>
      <c r="H21" s="1">
        <f>H20*(1+Sheet2!H20)</f>
        <v>26120.794132266172</v>
      </c>
      <c r="I21" s="1">
        <f>I20*(1+Sheet2!I20)</f>
        <v>4498.7571952974677</v>
      </c>
      <c r="J21">
        <f t="shared" si="0"/>
        <v>580495.29012260295</v>
      </c>
      <c r="K21">
        <v>621000</v>
      </c>
      <c r="N21">
        <f t="shared" si="1"/>
        <v>0.42261889699441962</v>
      </c>
      <c r="O21">
        <f t="shared" si="2"/>
        <v>0.17007008041525684</v>
      </c>
      <c r="P21">
        <f t="shared" si="3"/>
        <v>0.11296261876869258</v>
      </c>
      <c r="Q21">
        <f t="shared" si="4"/>
        <v>0.10319703085529698</v>
      </c>
      <c r="R21">
        <f t="shared" si="5"/>
        <v>8.3223160565744261E-2</v>
      </c>
      <c r="S21">
        <f t="shared" si="6"/>
        <v>3.9294506780977026E-2</v>
      </c>
      <c r="T21">
        <f t="shared" si="7"/>
        <v>4.4997426467920792E-2</v>
      </c>
      <c r="U21">
        <f t="shared" si="8"/>
        <v>1.5886419209938628E-2</v>
      </c>
      <c r="V21">
        <f t="shared" si="9"/>
        <v>7.7498599417530362E-3</v>
      </c>
    </row>
    <row r="22" spans="1:22" x14ac:dyDescent="0.3">
      <c r="A22">
        <f>A21*(1+Sheet2!A21)</f>
        <v>231482.98705761891</v>
      </c>
      <c r="B22">
        <f>B21*(1+Sheet2!B21)</f>
        <v>94182.909203624527</v>
      </c>
      <c r="C22">
        <f>C21*(1+Sheet2!C21)</f>
        <v>66662.570071150156</v>
      </c>
      <c r="D22" s="1">
        <f>D21*(1+Sheet2!D21)</f>
        <v>61129.537682982074</v>
      </c>
      <c r="E22" s="1">
        <f>E21*(1+Sheet2!E21)</f>
        <v>50932.392973791226</v>
      </c>
      <c r="F22" s="1">
        <f>F21*(1+Sheet2!F21)</f>
        <v>24620.307198316099</v>
      </c>
      <c r="G22" s="1">
        <f>G21*(1+Sheet2!G21)</f>
        <v>9440.5583072981171</v>
      </c>
      <c r="H22" s="1">
        <f>H21*(1+Sheet2!H21)</f>
        <v>27288.851006944944</v>
      </c>
      <c r="I22" s="1">
        <f>I21*(1+Sheet2!I21)</f>
        <v>4666.3619191814869</v>
      </c>
      <c r="J22">
        <f t="shared" si="0"/>
        <v>570406.47542090749</v>
      </c>
      <c r="K22">
        <v>620000</v>
      </c>
      <c r="N22">
        <f t="shared" si="1"/>
        <v>0.40582110658334614</v>
      </c>
      <c r="O22">
        <f t="shared" si="2"/>
        <v>0.16511542779055272</v>
      </c>
      <c r="P22">
        <f t="shared" si="3"/>
        <v>0.11686853663777101</v>
      </c>
      <c r="Q22">
        <f t="shared" si="4"/>
        <v>0.1071683795978545</v>
      </c>
      <c r="R22">
        <f t="shared" si="5"/>
        <v>8.9291400375859697E-2</v>
      </c>
      <c r="S22">
        <f t="shared" si="6"/>
        <v>4.3162741411987962E-2</v>
      </c>
      <c r="T22">
        <f t="shared" si="7"/>
        <v>4.7841061037759577E-2</v>
      </c>
      <c r="U22">
        <f t="shared" si="8"/>
        <v>1.6550580531772285E-2</v>
      </c>
      <c r="V22">
        <f t="shared" si="9"/>
        <v>8.1807660330962071E-3</v>
      </c>
    </row>
    <row r="23" spans="1:22" x14ac:dyDescent="0.3">
      <c r="A23">
        <f>A22*(1+Sheet2!A22)</f>
        <v>217198.65303407985</v>
      </c>
      <c r="B23">
        <f>B22*(1+Sheet2!B22)</f>
        <v>89744.474723726729</v>
      </c>
      <c r="C23">
        <f>C22*(1+Sheet2!C22)</f>
        <v>64558.632091727399</v>
      </c>
      <c r="D23" s="1">
        <f>D22*(1+Sheet2!D22)</f>
        <v>62327.033720563079</v>
      </c>
      <c r="E23" s="1">
        <f>E22*(1+Sheet2!E22)</f>
        <v>53679.625885544454</v>
      </c>
      <c r="F23" s="1">
        <f>F22*(1+Sheet2!F22)</f>
        <v>26507.799705478363</v>
      </c>
      <c r="G23" s="1">
        <f>G22*(1+Sheet2!G22)</f>
        <v>9675.924648931079</v>
      </c>
      <c r="H23" s="1">
        <f>H22*(1+Sheet2!H22)</f>
        <v>28357.913626836133</v>
      </c>
      <c r="I23" s="1">
        <f>I22*(1+Sheet2!I22)</f>
        <v>4837.1013418709917</v>
      </c>
      <c r="J23">
        <f t="shared" si="0"/>
        <v>556887.15877875802</v>
      </c>
      <c r="K23">
        <v>617600</v>
      </c>
      <c r="N23">
        <f t="shared" si="1"/>
        <v>0.39002273550424826</v>
      </c>
      <c r="O23">
        <f t="shared" si="2"/>
        <v>0.16115378727808072</v>
      </c>
      <c r="P23">
        <f t="shared" si="3"/>
        <v>0.11592767237316648</v>
      </c>
      <c r="Q23">
        <f t="shared" si="4"/>
        <v>0.11192040027865784</v>
      </c>
      <c r="R23">
        <f t="shared" si="5"/>
        <v>9.6392285293959296E-2</v>
      </c>
      <c r="S23">
        <f t="shared" si="6"/>
        <v>4.759994783074082E-2</v>
      </c>
      <c r="T23">
        <f t="shared" si="7"/>
        <v>5.0922189854448158E-2</v>
      </c>
      <c r="U23">
        <f t="shared" si="8"/>
        <v>1.7375018433088276E-2</v>
      </c>
      <c r="V23">
        <f t="shared" si="9"/>
        <v>8.6859631536102475E-3</v>
      </c>
    </row>
    <row r="24" spans="1:22" x14ac:dyDescent="0.3">
      <c r="A24">
        <f>A23*(1+Sheet2!A23)</f>
        <v>203357.78216464393</v>
      </c>
      <c r="B24">
        <f>B23*(1+Sheet2!B23)</f>
        <v>85441.327541685459</v>
      </c>
      <c r="C24">
        <f>C23*(1+Sheet2!C23)</f>
        <v>62373.42657616183</v>
      </c>
      <c r="D24" s="1">
        <f>D23*(1+Sheet2!D23)</f>
        <v>63540.82769602527</v>
      </c>
      <c r="E24" s="1">
        <f>E23*(1+Sheet2!E23)</f>
        <v>56427.269414498347</v>
      </c>
      <c r="F24" s="1">
        <f>F23*(1+Sheet2!F23)</f>
        <v>28603.591623463868</v>
      </c>
      <c r="G24" s="1">
        <f>G23*(1+Sheet2!G23)</f>
        <v>9924.4529552875138</v>
      </c>
      <c r="H24" s="1">
        <f>H23*(1+Sheet2!H23)</f>
        <v>29494.953719461555</v>
      </c>
      <c r="I24" s="1">
        <f>I23*(1+Sheet2!I23)</f>
        <v>4971.6687044085138</v>
      </c>
      <c r="J24">
        <f t="shared" si="0"/>
        <v>544135.30039563635</v>
      </c>
      <c r="K24">
        <v>615200</v>
      </c>
      <c r="N24">
        <f t="shared" si="1"/>
        <v>0.37372650150942999</v>
      </c>
      <c r="O24">
        <f t="shared" si="2"/>
        <v>0.15702221024727078</v>
      </c>
      <c r="P24">
        <f t="shared" si="3"/>
        <v>0.11462852443282143</v>
      </c>
      <c r="Q24">
        <f t="shared" si="4"/>
        <v>0.1167739487767569</v>
      </c>
      <c r="R24">
        <f t="shared" si="5"/>
        <v>0.10370080634994741</v>
      </c>
      <c r="S24">
        <f t="shared" si="6"/>
        <v>5.2567057499607966E-2</v>
      </c>
      <c r="T24">
        <f t="shared" si="7"/>
        <v>5.4205183339540761E-2</v>
      </c>
      <c r="U24">
        <f t="shared" si="8"/>
        <v>1.8238943417329338E-2</v>
      </c>
      <c r="V24">
        <f t="shared" si="9"/>
        <v>9.1368244272952964E-3</v>
      </c>
    </row>
    <row r="25" spans="1:22" x14ac:dyDescent="0.3">
      <c r="A25">
        <f>A24*(1+Sheet2!A24)</f>
        <v>190704.03809534825</v>
      </c>
      <c r="B25">
        <f>B24*(1+Sheet2!B24)</f>
        <v>81251.742203142145</v>
      </c>
      <c r="C25">
        <f>C24*(1+Sheet2!C24)</f>
        <v>60205.687122958559</v>
      </c>
      <c r="D25" s="1">
        <f>D24*(1+Sheet2!D24)</f>
        <v>64727.390876639467</v>
      </c>
      <c r="E25" s="1">
        <f>E24*(1+Sheet2!E24)</f>
        <v>59399.760750421192</v>
      </c>
      <c r="F25" s="1">
        <f>F24*(1+Sheet2!F24)</f>
        <v>30768.920915484479</v>
      </c>
      <c r="G25" s="1">
        <f>G24*(1+Sheet2!G24)</f>
        <v>10158.483333748325</v>
      </c>
      <c r="H25" s="1">
        <f>H24*(1+Sheet2!H24)</f>
        <v>30575.95750711954</v>
      </c>
      <c r="I25" s="1">
        <f>I24*(1+Sheet2!I24)</f>
        <v>5182.625785294922</v>
      </c>
      <c r="J25">
        <f t="shared" si="0"/>
        <v>532974.60659015691</v>
      </c>
      <c r="K25">
        <v>612799.99999999988</v>
      </c>
      <c r="N25">
        <f t="shared" si="1"/>
        <v>0.35781073945610042</v>
      </c>
      <c r="O25">
        <f t="shared" si="2"/>
        <v>0.15244955612983366</v>
      </c>
      <c r="P25">
        <f t="shared" si="3"/>
        <v>0.11296164278470983</v>
      </c>
      <c r="Q25">
        <f t="shared" si="4"/>
        <v>0.12144554370188425</v>
      </c>
      <c r="R25">
        <f t="shared" si="5"/>
        <v>0.1114495137591011</v>
      </c>
      <c r="S25">
        <f t="shared" si="6"/>
        <v>5.773055701909819E-2</v>
      </c>
      <c r="T25">
        <f t="shared" si="7"/>
        <v>5.736850710906688E-2</v>
      </c>
      <c r="U25">
        <f t="shared" si="8"/>
        <v>1.905997623177557E-2</v>
      </c>
      <c r="V25">
        <f t="shared" si="9"/>
        <v>9.7239638084300351E-3</v>
      </c>
    </row>
    <row r="26" spans="1:22" x14ac:dyDescent="0.3">
      <c r="A26">
        <f>A25*(1+Sheet2!A25)</f>
        <v>178867.548813111</v>
      </c>
      <c r="B26">
        <f>B25*(1+Sheet2!B25)</f>
        <v>77145.449687556727</v>
      </c>
      <c r="C26">
        <f>C25*(1+Sheet2!C25)</f>
        <v>58005.736243947693</v>
      </c>
      <c r="D26" s="1">
        <f>D25*(1+Sheet2!D25)</f>
        <v>66112.78114583416</v>
      </c>
      <c r="E26" s="1">
        <f>E25*(1+Sheet2!E25)</f>
        <v>62650.251895690897</v>
      </c>
      <c r="F26" s="1">
        <f>F25*(1+Sheet2!F25)</f>
        <v>33048.93779463954</v>
      </c>
      <c r="G26" s="1">
        <f>G25*(1+Sheet2!G25)</f>
        <v>10416.056725876342</v>
      </c>
      <c r="H26" s="1">
        <f>H25*(1+Sheet2!H25)</f>
        <v>31772.428802717954</v>
      </c>
      <c r="I26" s="1">
        <f>I25*(1+Sheet2!I25)</f>
        <v>5390.3917267598181</v>
      </c>
      <c r="J26">
        <f t="shared" si="0"/>
        <v>523409.58283613424</v>
      </c>
      <c r="K26">
        <v>610399.99999999988</v>
      </c>
      <c r="N26">
        <f t="shared" si="1"/>
        <v>0.34173533438937764</v>
      </c>
      <c r="O26">
        <f t="shared" si="2"/>
        <v>0.1473902125932397</v>
      </c>
      <c r="P26">
        <f t="shared" si="3"/>
        <v>0.11082283960037423</v>
      </c>
      <c r="Q26">
        <f t="shared" si="4"/>
        <v>0.12631175147309509</v>
      </c>
      <c r="R26">
        <f t="shared" si="5"/>
        <v>0.11969641739498882</v>
      </c>
      <c r="S26">
        <f t="shared" si="6"/>
        <v>6.3141636833550854E-2</v>
      </c>
      <c r="T26">
        <f t="shared" si="7"/>
        <v>6.0702803014336601E-2</v>
      </c>
      <c r="U26">
        <f t="shared" si="8"/>
        <v>1.990039362565002E-2</v>
      </c>
      <c r="V26">
        <f t="shared" si="9"/>
        <v>1.029861107538684E-2</v>
      </c>
    </row>
    <row r="27" spans="1:22" x14ac:dyDescent="0.3">
      <c r="A27">
        <f>A26*(1+Sheet2!A26)</f>
        <v>168335.07326389418</v>
      </c>
      <c r="B27">
        <f>B26*(1+Sheet2!B26)</f>
        <v>73126.246039697682</v>
      </c>
      <c r="C27">
        <f>C26*(1+Sheet2!C26)</f>
        <v>55958.384807862516</v>
      </c>
      <c r="D27" s="1">
        <f>D26*(1+Sheet2!D26)</f>
        <v>67261.738911959343</v>
      </c>
      <c r="E27" s="1">
        <f>E26*(1+Sheet2!E26)</f>
        <v>65825.545064218793</v>
      </c>
      <c r="F27" s="1">
        <f>F26*(1+Sheet2!F26)</f>
        <v>35487.151026581458</v>
      </c>
      <c r="G27" s="1">
        <f>G26*(1+Sheet2!G26)</f>
        <v>10649.553028966604</v>
      </c>
      <c r="H27" s="1">
        <f>H26*(1+Sheet2!H26)</f>
        <v>32874.394020018823</v>
      </c>
      <c r="I27" s="1">
        <f>I26*(1+Sheet2!I26)</f>
        <v>5594.2026550099008</v>
      </c>
      <c r="J27">
        <f t="shared" si="0"/>
        <v>515112.28881820932</v>
      </c>
      <c r="K27">
        <v>608000</v>
      </c>
      <c r="N27">
        <f t="shared" si="1"/>
        <v>0.32679296712197464</v>
      </c>
      <c r="O27">
        <f t="shared" si="2"/>
        <v>0.14196175790615823</v>
      </c>
      <c r="P27">
        <f t="shared" si="3"/>
        <v>0.10863337183479824</v>
      </c>
      <c r="Q27">
        <f t="shared" si="4"/>
        <v>0.13057684775153364</v>
      </c>
      <c r="R27">
        <f t="shared" si="5"/>
        <v>0.12778872974519465</v>
      </c>
      <c r="S27">
        <f t="shared" si="6"/>
        <v>6.8892068383764368E-2</v>
      </c>
      <c r="T27">
        <f t="shared" si="7"/>
        <v>6.3819859734739665E-2</v>
      </c>
      <c r="U27">
        <f t="shared" si="8"/>
        <v>2.0674236006675794E-2</v>
      </c>
      <c r="V27">
        <f t="shared" si="9"/>
        <v>1.0860161515160779E-2</v>
      </c>
    </row>
    <row r="28" spans="1:22" x14ac:dyDescent="0.3">
      <c r="A28">
        <f>A27*(1+Sheet2!A27)</f>
        <v>157893.53238584314</v>
      </c>
      <c r="B28">
        <f>B27*(1+Sheet2!B27)</f>
        <v>69222.030685807695</v>
      </c>
      <c r="C28">
        <f>C27*(1+Sheet2!C27)</f>
        <v>53461.819905625867</v>
      </c>
      <c r="D28" s="1">
        <f>D27*(1+Sheet2!D27)</f>
        <v>68861.165267562785</v>
      </c>
      <c r="E28" s="1">
        <f>E27*(1+Sheet2!E27)</f>
        <v>69365.726307704594</v>
      </c>
      <c r="F28" s="1">
        <f>F27*(1+Sheet2!F27)</f>
        <v>38181.484226492721</v>
      </c>
      <c r="G28" s="1">
        <f>G27*(1+Sheet2!G27)</f>
        <v>10894.445880325959</v>
      </c>
      <c r="H28" s="1">
        <f>H27*(1+Sheet2!H27)</f>
        <v>34202.195439126117</v>
      </c>
      <c r="I28" s="1">
        <f>I27*(1+Sheet2!I27)</f>
        <v>5812.2027516060398</v>
      </c>
      <c r="J28">
        <f t="shared" si="0"/>
        <v>507894.6028500949</v>
      </c>
      <c r="K28">
        <v>604400</v>
      </c>
      <c r="N28">
        <f t="shared" si="1"/>
        <v>0.31087853956275535</v>
      </c>
      <c r="O28">
        <f t="shared" si="2"/>
        <v>0.13629211709941833</v>
      </c>
      <c r="P28">
        <f t="shared" si="3"/>
        <v>0.10526164209192261</v>
      </c>
      <c r="Q28">
        <f t="shared" si="4"/>
        <v>0.13558160468952091</v>
      </c>
      <c r="R28">
        <f t="shared" si="5"/>
        <v>0.13657504119644659</v>
      </c>
      <c r="S28">
        <f t="shared" si="6"/>
        <v>7.5175999138864621E-2</v>
      </c>
      <c r="T28">
        <f t="shared" si="7"/>
        <v>6.7341127956858593E-2</v>
      </c>
      <c r="U28">
        <f t="shared" si="8"/>
        <v>2.1450209982919338E-2</v>
      </c>
      <c r="V28">
        <f t="shared" si="9"/>
        <v>1.1443718281293711E-2</v>
      </c>
    </row>
    <row r="29" spans="1:22" x14ac:dyDescent="0.3">
      <c r="A29">
        <f>A28*(1+Sheet2!A28)</f>
        <v>148510.69504213528</v>
      </c>
      <c r="B29">
        <f>B28*(1+Sheet2!B28)</f>
        <v>65417.647970884289</v>
      </c>
      <c r="C29">
        <f>C28*(1+Sheet2!C28)</f>
        <v>51321.281224036029</v>
      </c>
      <c r="D29" s="1">
        <f>D28*(1+Sheet2!D28)</f>
        <v>70256.081107881677</v>
      </c>
      <c r="E29" s="1">
        <f>E28*(1+Sheet2!E28)</f>
        <v>72950.847838231784</v>
      </c>
      <c r="F29" s="1">
        <f>F28*(1+Sheet2!F28)</f>
        <v>40978.275614512393</v>
      </c>
      <c r="G29" s="1">
        <f>G28*(1+Sheet2!G28)</f>
        <v>11176.124746448362</v>
      </c>
      <c r="H29" s="1">
        <f>H28*(1+Sheet2!H28)</f>
        <v>35408.705907674463</v>
      </c>
      <c r="I29" s="1">
        <f>I28*(1+Sheet2!I28)</f>
        <v>6008.948611214968</v>
      </c>
      <c r="J29">
        <f t="shared" si="0"/>
        <v>502028.60806301923</v>
      </c>
      <c r="K29">
        <v>600800</v>
      </c>
      <c r="N29">
        <f t="shared" si="1"/>
        <v>0.29582117962387683</v>
      </c>
      <c r="O29">
        <f t="shared" si="2"/>
        <v>0.13030661384674011</v>
      </c>
      <c r="P29">
        <f t="shared" si="3"/>
        <v>0.10222780216061654</v>
      </c>
      <c r="Q29">
        <f t="shared" si="4"/>
        <v>0.13994437763009412</v>
      </c>
      <c r="R29">
        <f t="shared" si="5"/>
        <v>0.14531213294736051</v>
      </c>
      <c r="S29">
        <f t="shared" si="6"/>
        <v>8.1625379423334421E-2</v>
      </c>
      <c r="T29">
        <f t="shared" si="7"/>
        <v>7.0531251285244762E-2</v>
      </c>
      <c r="U29">
        <f t="shared" si="8"/>
        <v>2.2261928039458326E-2</v>
      </c>
      <c r="V29">
        <f t="shared" si="9"/>
        <v>1.1969335043274406E-2</v>
      </c>
    </row>
    <row r="30" spans="1:22" x14ac:dyDescent="0.3">
      <c r="A30">
        <f>A29*(1+Sheet2!A29)</f>
        <v>140055.17363316385</v>
      </c>
      <c r="B30">
        <f>B29*(1+Sheet2!B29)</f>
        <v>61890.170992032326</v>
      </c>
      <c r="C30">
        <f>C29*(1+Sheet2!C29)</f>
        <v>49318.092927119818</v>
      </c>
      <c r="D30" s="1">
        <f>D29*(1+Sheet2!D29)</f>
        <v>71501.467113083578</v>
      </c>
      <c r="E30" s="1">
        <f>E29*(1+Sheet2!E29)</f>
        <v>76682.021892473669</v>
      </c>
      <c r="F30" s="1">
        <f>F29*(1+Sheet2!F29)</f>
        <v>44317.521016748622</v>
      </c>
      <c r="G30" s="1">
        <f>G29*(1+Sheet2!G29)</f>
        <v>11428.592775075482</v>
      </c>
      <c r="H30" s="1">
        <f>H29*(1+Sheet2!H29)</f>
        <v>36943.736330343534</v>
      </c>
      <c r="I30" s="1">
        <f>I29*(1+Sheet2!I29)</f>
        <v>6236.0033139180696</v>
      </c>
      <c r="J30">
        <f t="shared" si="0"/>
        <v>498372.77999395895</v>
      </c>
      <c r="K30">
        <v>597200</v>
      </c>
      <c r="N30">
        <f t="shared" si="1"/>
        <v>0.28102492602999213</v>
      </c>
      <c r="O30">
        <f t="shared" si="2"/>
        <v>0.12418449296685612</v>
      </c>
      <c r="P30">
        <f t="shared" si="3"/>
        <v>9.8958239508421045E-2</v>
      </c>
      <c r="Q30">
        <f t="shared" si="4"/>
        <v>0.14346984824080938</v>
      </c>
      <c r="R30">
        <f t="shared" si="5"/>
        <v>0.15386478750585691</v>
      </c>
      <c r="S30">
        <f t="shared" si="6"/>
        <v>8.8924441293294187E-2</v>
      </c>
      <c r="T30">
        <f t="shared" si="7"/>
        <v>7.4128720133534082E-2</v>
      </c>
      <c r="U30">
        <f t="shared" si="8"/>
        <v>2.2931815768939094E-2</v>
      </c>
      <c r="V30">
        <f t="shared" si="9"/>
        <v>1.2512728552297058E-2</v>
      </c>
    </row>
    <row r="31" spans="1:22" x14ac:dyDescent="0.3">
      <c r="A31">
        <f>A30*(1+Sheet2!A30)</f>
        <v>131607.38589979822</v>
      </c>
      <c r="B31">
        <f>B30*(1+Sheet2!B30)</f>
        <v>58490.851788135624</v>
      </c>
      <c r="C31">
        <f>C30*(1+Sheet2!C30)</f>
        <v>47425.843696031596</v>
      </c>
      <c r="D31" s="1">
        <f>D30*(1+Sheet2!D30)</f>
        <v>72705.774023227772</v>
      </c>
      <c r="E31" s="1">
        <f>E30*(1+Sheet2!E30)</f>
        <v>80540.834283438249</v>
      </c>
      <c r="F31" s="1">
        <f>F30*(1+Sheet2!F30)</f>
        <v>47798.532819829401</v>
      </c>
      <c r="G31" s="1">
        <f>G30*(1+Sheet2!G30)</f>
        <v>11680.351948361578</v>
      </c>
      <c r="H31" s="1">
        <f>H30*(1+Sheet2!H30)</f>
        <v>38319.685659114824</v>
      </c>
      <c r="I31" s="1">
        <f>I30*(1+Sheet2!I30)</f>
        <v>6424.6301140562355</v>
      </c>
      <c r="J31">
        <f t="shared" si="0"/>
        <v>494993.89023199346</v>
      </c>
      <c r="K31">
        <v>593600</v>
      </c>
      <c r="N31">
        <f t="shared" si="1"/>
        <v>0.265876788576353</v>
      </c>
      <c r="O31">
        <f t="shared" si="2"/>
        <v>0.11816479544974215</v>
      </c>
      <c r="P31">
        <f t="shared" si="3"/>
        <v>9.5810967835995062E-2</v>
      </c>
      <c r="Q31">
        <f t="shared" si="4"/>
        <v>0.14688216452359051</v>
      </c>
      <c r="R31">
        <f t="shared" si="5"/>
        <v>0.16271076446153793</v>
      </c>
      <c r="S31">
        <f t="shared" si="6"/>
        <v>9.6563884450022633E-2</v>
      </c>
      <c r="T31">
        <f t="shared" si="7"/>
        <v>7.7414461906095799E-2</v>
      </c>
      <c r="U31">
        <f t="shared" si="8"/>
        <v>2.3596961859240803E-2</v>
      </c>
      <c r="V31">
        <f t="shared" si="9"/>
        <v>1.2979210937422164E-2</v>
      </c>
    </row>
    <row r="32" spans="1:22" x14ac:dyDescent="0.3">
      <c r="A32">
        <f>A31*(1+Sheet2!A31)</f>
        <v>123635.30020087185</v>
      </c>
      <c r="B32">
        <f>B31*(1+Sheet2!B31)</f>
        <v>55217.220775895446</v>
      </c>
      <c r="C32">
        <f>C31*(1+Sheet2!C31)</f>
        <v>45566.441815015431</v>
      </c>
      <c r="D32" s="1">
        <f>D31*(1+Sheet2!D31)</f>
        <v>74127.706351926608</v>
      </c>
      <c r="E32" s="1">
        <f>E31*(1+Sheet2!E31)</f>
        <v>84606.483919149119</v>
      </c>
      <c r="F32" s="1">
        <f>F31*(1+Sheet2!F31)</f>
        <v>51521.398289242592</v>
      </c>
      <c r="G32" s="1">
        <f>G31*(1+Sheet2!G31)</f>
        <v>11913.196863086208</v>
      </c>
      <c r="H32" s="1">
        <f>H31*(1+Sheet2!H31)</f>
        <v>39526.840762634951</v>
      </c>
      <c r="I32" s="1">
        <f>I31*(1+Sheet2!I31)</f>
        <v>6660.4294394581502</v>
      </c>
      <c r="J32">
        <f t="shared" si="0"/>
        <v>492775.01841728034</v>
      </c>
      <c r="K32">
        <v>590000</v>
      </c>
      <c r="N32">
        <f t="shared" si="1"/>
        <v>0.25089603892252887</v>
      </c>
      <c r="O32">
        <f t="shared" si="2"/>
        <v>0.11205361211947168</v>
      </c>
      <c r="P32">
        <f t="shared" si="3"/>
        <v>9.2469058113716945E-2</v>
      </c>
      <c r="Q32">
        <f t="shared" si="4"/>
        <v>0.15042910777014168</v>
      </c>
      <c r="R32">
        <f t="shared" si="5"/>
        <v>0.17169393893158888</v>
      </c>
      <c r="S32">
        <f t="shared" si="6"/>
        <v>0.10455359213363051</v>
      </c>
      <c r="T32">
        <f t="shared" si="7"/>
        <v>8.0212752849341373E-2</v>
      </c>
      <c r="U32">
        <f t="shared" si="8"/>
        <v>2.4175732165460852E-2</v>
      </c>
      <c r="V32">
        <f t="shared" si="9"/>
        <v>1.351616699411925E-2</v>
      </c>
    </row>
    <row r="33" spans="1:22" x14ac:dyDescent="0.3">
      <c r="A33">
        <f>A32*(1+Sheet2!A32)</f>
        <v>115741.83633717381</v>
      </c>
      <c r="B33">
        <f>B32*(1+Sheet2!B32)</f>
        <v>52227.907679660639</v>
      </c>
      <c r="C33">
        <f>C32*(1+Sheet2!C32)</f>
        <v>43670.674360603443</v>
      </c>
      <c r="D33" s="1">
        <f>D32*(1+Sheet2!D32)</f>
        <v>75825.42575320162</v>
      </c>
      <c r="E33" s="1">
        <f>E32*(1+Sheet2!E32)</f>
        <v>88952.649917952847</v>
      </c>
      <c r="F33" s="1">
        <f>F32*(1+Sheet2!F32)</f>
        <v>55284.970000293601</v>
      </c>
      <c r="G33" s="1">
        <f>G32*(1+Sheet2!G32)</f>
        <v>12238.899624634818</v>
      </c>
      <c r="H33" s="1">
        <f>H32*(1+Sheet2!H32)</f>
        <v>40964.00464455373</v>
      </c>
      <c r="I33" s="1">
        <f>I32*(1+Sheet2!I32)</f>
        <v>6905.2707569532722</v>
      </c>
      <c r="J33">
        <f t="shared" si="0"/>
        <v>491811.63907502778</v>
      </c>
      <c r="K33">
        <v>587600</v>
      </c>
      <c r="N33">
        <f t="shared" si="1"/>
        <v>0.23533773327295521</v>
      </c>
      <c r="O33">
        <f t="shared" si="2"/>
        <v>0.10619494035945959</v>
      </c>
      <c r="P33">
        <f t="shared" si="3"/>
        <v>8.8795528391188219E-2</v>
      </c>
      <c r="Q33">
        <f t="shared" si="4"/>
        <v>0.15417574479491764</v>
      </c>
      <c r="R33">
        <f t="shared" si="5"/>
        <v>0.1808673135211889</v>
      </c>
      <c r="S33">
        <f t="shared" si="6"/>
        <v>0.11241086141082493</v>
      </c>
      <c r="T33">
        <f t="shared" si="7"/>
        <v>8.3292060191167028E-2</v>
      </c>
      <c r="U33">
        <f t="shared" si="8"/>
        <v>2.4885339532942054E-2</v>
      </c>
      <c r="V33">
        <f t="shared" si="9"/>
        <v>1.4040478525356425E-2</v>
      </c>
    </row>
    <row r="34" spans="1:22" x14ac:dyDescent="0.3">
      <c r="A34">
        <f>A33*(1+Sheet2!A33)</f>
        <v>108687.55794466659</v>
      </c>
      <c r="B34">
        <f>B33*(1+Sheet2!B33)</f>
        <v>49411.24994767856</v>
      </c>
      <c r="C34">
        <f>C33*(1+Sheet2!C33)</f>
        <v>41907.131373688288</v>
      </c>
      <c r="D34" s="1">
        <f>D33*(1+Sheet2!D33)</f>
        <v>77227.705304708827</v>
      </c>
      <c r="E34" s="1">
        <f>E33*(1+Sheet2!E33)</f>
        <v>93504.242511372911</v>
      </c>
      <c r="F34" s="1">
        <f>F33*(1+Sheet2!F33)</f>
        <v>59634.978311430918</v>
      </c>
      <c r="G34" s="1">
        <f>G33*(1+Sheet2!G33)</f>
        <v>12473.677803230448</v>
      </c>
      <c r="H34" s="1">
        <f>H33*(1+Sheet2!H33)</f>
        <v>42592.874254331073</v>
      </c>
      <c r="I34" s="1">
        <f>I33*(1+Sheet2!I33)</f>
        <v>7143.026871199987</v>
      </c>
      <c r="J34">
        <f t="shared" si="0"/>
        <v>492582.44432230759</v>
      </c>
      <c r="K34">
        <v>585200</v>
      </c>
      <c r="N34">
        <f t="shared" si="1"/>
        <v>0.22064846036930605</v>
      </c>
      <c r="O34">
        <f t="shared" si="2"/>
        <v>0.1003106190998307</v>
      </c>
      <c r="P34">
        <f t="shared" si="3"/>
        <v>8.5076380323184084E-2</v>
      </c>
      <c r="Q34">
        <f t="shared" si="4"/>
        <v>0.15678127833191113</v>
      </c>
      <c r="R34">
        <f t="shared" si="5"/>
        <v>0.18982455341057794</v>
      </c>
      <c r="S34">
        <f t="shared" si="6"/>
        <v>0.12106598397650248</v>
      </c>
      <c r="T34">
        <f t="shared" si="7"/>
        <v>8.6468518610991363E-2</v>
      </c>
      <c r="U34">
        <f t="shared" si="8"/>
        <v>2.5323025509753339E-2</v>
      </c>
      <c r="V34">
        <f t="shared" si="9"/>
        <v>1.4501180367942927E-2</v>
      </c>
    </row>
    <row r="35" spans="1:22" x14ac:dyDescent="0.3">
      <c r="A35">
        <f>A34*(1+Sheet2!A34)</f>
        <v>102515.29912802677</v>
      </c>
      <c r="B35">
        <f>B34*(1+Sheet2!B34)</f>
        <v>46588.991331994046</v>
      </c>
      <c r="C35">
        <f>C34*(1+Sheet2!C34)</f>
        <v>40091.175174797041</v>
      </c>
      <c r="D35" s="1">
        <f>D34*(1+Sheet2!D34)</f>
        <v>78662.493249026171</v>
      </c>
      <c r="E35" s="1">
        <f>E34*(1+Sheet2!E34)</f>
        <v>98327.268975672676</v>
      </c>
      <c r="F35" s="1">
        <f>F34*(1+Sheet2!F34)</f>
        <v>64487.693795319945</v>
      </c>
      <c r="G35" s="1">
        <f>G34*(1+Sheet2!G34)</f>
        <v>12737.385458899329</v>
      </c>
      <c r="H35" s="1">
        <f>H34*(1+Sheet2!H34)</f>
        <v>44146.236323207304</v>
      </c>
      <c r="I35" s="1">
        <f>I34*(1+Sheet2!I34)</f>
        <v>7401.5132739999954</v>
      </c>
      <c r="J35">
        <f t="shared" si="0"/>
        <v>494958.05671094323</v>
      </c>
      <c r="K35">
        <v>582799.99999999988</v>
      </c>
      <c r="N35">
        <f t="shared" si="1"/>
        <v>0.20711916441820033</v>
      </c>
      <c r="O35">
        <f t="shared" si="2"/>
        <v>9.4127150170225715E-2</v>
      </c>
      <c r="P35">
        <f t="shared" si="3"/>
        <v>8.0999136454526666E-2</v>
      </c>
      <c r="Q35">
        <f t="shared" si="4"/>
        <v>0.15892759433344322</v>
      </c>
      <c r="R35">
        <f t="shared" si="5"/>
        <v>0.19865778047754065</v>
      </c>
      <c r="S35">
        <f t="shared" si="6"/>
        <v>0.13028920919855017</v>
      </c>
      <c r="T35">
        <f t="shared" si="7"/>
        <v>8.9191873381280914E-2</v>
      </c>
      <c r="U35">
        <f t="shared" si="8"/>
        <v>2.5734272401869387E-2</v>
      </c>
      <c r="V35">
        <f t="shared" si="9"/>
        <v>1.4953819164363048E-2</v>
      </c>
    </row>
    <row r="36" spans="1:22" x14ac:dyDescent="0.3">
      <c r="A36">
        <f>A35*(1+Sheet2!A35)</f>
        <v>96702.50684755054</v>
      </c>
      <c r="B36">
        <f>B35*(1+Sheet2!B35)</f>
        <v>43893.016856597322</v>
      </c>
      <c r="C36">
        <f>C35*(1+Sheet2!C35)</f>
        <v>38309.381452097943</v>
      </c>
      <c r="D36" s="1">
        <f>D35*(1+Sheet2!D35)</f>
        <v>80195.476729926391</v>
      </c>
      <c r="E36" s="1">
        <f>E35*(1+Sheet2!E35)</f>
        <v>103372.65867936202</v>
      </c>
      <c r="F36" s="1">
        <f>F35*(1+Sheet2!F35)</f>
        <v>69460.329111706873</v>
      </c>
      <c r="G36" s="1">
        <f>G35*(1+Sheet2!G35)</f>
        <v>13000.622210871466</v>
      </c>
      <c r="H36" s="1">
        <f>H35*(1+Sheet2!H35)</f>
        <v>45679.804551585228</v>
      </c>
      <c r="I36" s="1">
        <f>I35*(1+Sheet2!I35)</f>
        <v>7657.3657171870127</v>
      </c>
      <c r="J36">
        <f t="shared" si="0"/>
        <v>498271.16215688479</v>
      </c>
      <c r="K36">
        <v>580399.99999999988</v>
      </c>
      <c r="N36">
        <f t="shared" si="1"/>
        <v>0.19407606578905917</v>
      </c>
      <c r="O36">
        <f t="shared" si="2"/>
        <v>8.8090622516856079E-2</v>
      </c>
      <c r="P36">
        <f t="shared" si="3"/>
        <v>7.688460493331925E-2</v>
      </c>
      <c r="Q36">
        <f t="shared" si="4"/>
        <v>0.16094745757065543</v>
      </c>
      <c r="R36">
        <f t="shared" si="5"/>
        <v>0.20746265593996846</v>
      </c>
      <c r="S36">
        <f t="shared" si="6"/>
        <v>0.13940266743720703</v>
      </c>
      <c r="T36">
        <f t="shared" si="7"/>
        <v>9.1676597043765032E-2</v>
      </c>
      <c r="U36">
        <f t="shared" si="8"/>
        <v>2.6091460229396363E-2</v>
      </c>
      <c r="V36">
        <f t="shared" si="9"/>
        <v>1.5367868539773184E-2</v>
      </c>
    </row>
    <row r="37" spans="1:22" x14ac:dyDescent="0.3">
      <c r="A37">
        <f>A36*(1+Sheet2!A36)</f>
        <v>91111.632105055774</v>
      </c>
      <c r="B37">
        <f>B36*(1+Sheet2!B36)</f>
        <v>41452.363893404938</v>
      </c>
      <c r="C37">
        <f>C36*(1+Sheet2!C36)</f>
        <v>36744.827018289674</v>
      </c>
      <c r="D37" s="1">
        <f>D36*(1+Sheet2!D36)</f>
        <v>81517.753428300333</v>
      </c>
      <c r="E37" s="1">
        <f>E36*(1+Sheet2!E36)</f>
        <v>108562.1895517848</v>
      </c>
      <c r="F37" s="1">
        <f>F36*(1+Sheet2!F36)</f>
        <v>74897.887685263617</v>
      </c>
      <c r="G37" s="1">
        <f>G36*(1+Sheet2!G36)</f>
        <v>13249.089366940641</v>
      </c>
      <c r="H37" s="1">
        <f>H36*(1+Sheet2!H36)</f>
        <v>47280.263706443679</v>
      </c>
      <c r="I37" s="1">
        <f>I36*(1+Sheet2!I36)</f>
        <v>7923.0767372364062</v>
      </c>
      <c r="J37">
        <f t="shared" si="0"/>
        <v>502739.08349271992</v>
      </c>
      <c r="K37">
        <v>578000</v>
      </c>
      <c r="N37">
        <f t="shared" si="1"/>
        <v>0.18123045352286629</v>
      </c>
      <c r="O37">
        <f t="shared" si="2"/>
        <v>8.2453036285580927E-2</v>
      </c>
      <c r="P37">
        <f t="shared" si="3"/>
        <v>7.3089258871638474E-2</v>
      </c>
      <c r="Q37">
        <f t="shared" si="4"/>
        <v>0.16214723721490967</v>
      </c>
      <c r="R37">
        <f t="shared" si="5"/>
        <v>0.21594141596782554</v>
      </c>
      <c r="S37">
        <f t="shared" si="6"/>
        <v>0.14897964002503936</v>
      </c>
      <c r="T37">
        <f t="shared" si="7"/>
        <v>9.4045331383368236E-2</v>
      </c>
      <c r="U37">
        <f t="shared" si="8"/>
        <v>2.6353808172012747E-2</v>
      </c>
      <c r="V37">
        <f t="shared" si="9"/>
        <v>1.5759818556758655E-2</v>
      </c>
    </row>
    <row r="38" spans="1:22" x14ac:dyDescent="0.3">
      <c r="A38">
        <f>A37*(1+Sheet2!A37)</f>
        <v>85732.728179458965</v>
      </c>
      <c r="B38">
        <f>B37*(1+Sheet2!B37)</f>
        <v>39032.901684877659</v>
      </c>
      <c r="C38">
        <f>C37*(1+Sheet2!C37)</f>
        <v>35322.768288522435</v>
      </c>
      <c r="D38" s="1">
        <f>D37*(1+Sheet2!D37)</f>
        <v>83045.177623029085</v>
      </c>
      <c r="E38" s="1">
        <f>E37*(1+Sheet2!E37)</f>
        <v>113995.64727113134</v>
      </c>
      <c r="F38" s="1">
        <f>F37*(1+Sheet2!F37)</f>
        <v>80112.331359811069</v>
      </c>
      <c r="G38" s="1">
        <f>G37*(1+Sheet2!G37)</f>
        <v>13546.575310972905</v>
      </c>
      <c r="H38" s="1">
        <f>H37*(1+Sheet2!H37)</f>
        <v>48726.322716759954</v>
      </c>
      <c r="I38" s="1">
        <f>I37*(1+Sheet2!I37)</f>
        <v>8168.6997387995725</v>
      </c>
      <c r="J38">
        <f t="shared" si="0"/>
        <v>507683.15217336302</v>
      </c>
      <c r="K38">
        <v>576200</v>
      </c>
      <c r="N38">
        <f t="shared" si="1"/>
        <v>0.16887054024235781</v>
      </c>
      <c r="O38">
        <f t="shared" si="2"/>
        <v>7.6884374669082489E-2</v>
      </c>
      <c r="P38">
        <f t="shared" si="3"/>
        <v>6.9576404372112113E-2</v>
      </c>
      <c r="Q38">
        <f t="shared" si="4"/>
        <v>0.16357678458998953</v>
      </c>
      <c r="R38">
        <f t="shared" si="5"/>
        <v>0.22454093026944538</v>
      </c>
      <c r="S38">
        <f t="shared" si="6"/>
        <v>0.15779986201404297</v>
      </c>
      <c r="T38">
        <f t="shared" si="7"/>
        <v>9.5977821025112431E-2</v>
      </c>
      <c r="U38">
        <f t="shared" si="8"/>
        <v>2.6683129532624389E-2</v>
      </c>
      <c r="V38">
        <f t="shared" si="9"/>
        <v>1.6090153285232785E-2</v>
      </c>
    </row>
    <row r="39" spans="1:22" x14ac:dyDescent="0.3">
      <c r="A39">
        <f>A38*(1+Sheet2!A38)</f>
        <v>80942.553397488678</v>
      </c>
      <c r="B39">
        <f>B38*(1+Sheet2!B38)</f>
        <v>36820.775364156776</v>
      </c>
      <c r="C39">
        <f>C38*(1+Sheet2!C38)</f>
        <v>33909.504099627113</v>
      </c>
      <c r="D39" s="1">
        <f>D38*(1+Sheet2!D38)</f>
        <v>84609.071190710936</v>
      </c>
      <c r="E39" s="1">
        <f>E38*(1+Sheet2!E38)</f>
        <v>119755.81331550816</v>
      </c>
      <c r="F39" s="1">
        <f>F38*(1+Sheet2!F38)</f>
        <v>85868.790281747744</v>
      </c>
      <c r="G39" s="1">
        <f>G38*(1+Sheet2!G38)</f>
        <v>13837.606757164427</v>
      </c>
      <c r="H39" s="1">
        <f>H38*(1+Sheet2!H38)</f>
        <v>50516.068218944485</v>
      </c>
      <c r="I39" s="1">
        <f>I38*(1+Sheet2!I38)</f>
        <v>8421.6905303253934</v>
      </c>
      <c r="J39">
        <f t="shared" si="0"/>
        <v>514681.87315567373</v>
      </c>
      <c r="K39">
        <v>574400</v>
      </c>
      <c r="N39">
        <f t="shared" si="1"/>
        <v>0.15726715398233251</v>
      </c>
      <c r="O39">
        <f t="shared" si="2"/>
        <v>7.1540843547485397E-2</v>
      </c>
      <c r="P39">
        <f t="shared" si="3"/>
        <v>6.5884395523233524E-2</v>
      </c>
      <c r="Q39">
        <f t="shared" si="4"/>
        <v>0.16439100656867231</v>
      </c>
      <c r="R39">
        <f t="shared" si="5"/>
        <v>0.23267929095938086</v>
      </c>
      <c r="S39">
        <f t="shared" si="6"/>
        <v>0.16683857497304042</v>
      </c>
      <c r="T39">
        <f t="shared" si="7"/>
        <v>9.8150082320200727E-2</v>
      </c>
      <c r="U39">
        <f t="shared" si="8"/>
        <v>2.6885747252612145E-2</v>
      </c>
      <c r="V39">
        <f t="shared" si="9"/>
        <v>1.6362904873042067E-2</v>
      </c>
    </row>
    <row r="40" spans="1:22" x14ac:dyDescent="0.3">
      <c r="A40">
        <f>A39*(1+Sheet2!A39)</f>
        <v>76498.598365106955</v>
      </c>
      <c r="B40">
        <f>B39*(1+Sheet2!B39)</f>
        <v>34818.360086674795</v>
      </c>
      <c r="C40">
        <f>C39*(1+Sheet2!C39)</f>
        <v>32578.005885170787</v>
      </c>
      <c r="D40" s="1">
        <f>D39*(1+Sheet2!D39)</f>
        <v>86085.787535081501</v>
      </c>
      <c r="E40" s="1">
        <f>E39*(1+Sheet2!E39)</f>
        <v>125938.58474524779</v>
      </c>
      <c r="F40" s="1">
        <f>F39*(1+Sheet2!F39)</f>
        <v>92317.051054514974</v>
      </c>
      <c r="G40" s="1">
        <f>G39*(1+Sheet2!G39)</f>
        <v>14162.719382157682</v>
      </c>
      <c r="H40" s="1">
        <f>H39*(1+Sheet2!H39)</f>
        <v>51923.098784267226</v>
      </c>
      <c r="I40" s="1">
        <f>I39*(1+Sheet2!I39)</f>
        <v>8712.5037548594064</v>
      </c>
      <c r="J40">
        <f t="shared" si="0"/>
        <v>523034.70959308109</v>
      </c>
      <c r="K40">
        <v>572600</v>
      </c>
      <c r="N40">
        <f t="shared" si="1"/>
        <v>0.14625912384404194</v>
      </c>
      <c r="O40">
        <f t="shared" si="2"/>
        <v>6.6569884269752078E-2</v>
      </c>
      <c r="P40">
        <f t="shared" si="3"/>
        <v>6.228650850058564E-2</v>
      </c>
      <c r="Q40">
        <f t="shared" si="4"/>
        <v>0.16458905299431448</v>
      </c>
      <c r="R40">
        <f t="shared" si="5"/>
        <v>0.24078437326506974</v>
      </c>
      <c r="S40">
        <f t="shared" si="6"/>
        <v>0.17650272412386794</v>
      </c>
      <c r="T40">
        <f t="shared" si="7"/>
        <v>9.9272759210690217E-2</v>
      </c>
      <c r="U40">
        <f t="shared" si="8"/>
        <v>2.7077972307375586E-2</v>
      </c>
      <c r="V40">
        <f t="shared" si="9"/>
        <v>1.6657601484302446E-2</v>
      </c>
    </row>
    <row r="41" spans="1:22" x14ac:dyDescent="0.3">
      <c r="A41">
        <f>A40*(1+Sheet2!A40)</f>
        <v>72235.056050206025</v>
      </c>
      <c r="B41">
        <f>B40*(1+Sheet2!B40)</f>
        <v>32908.782569671923</v>
      </c>
      <c r="C41">
        <f>C40*(1+Sheet2!C40)</f>
        <v>31279.004481103286</v>
      </c>
      <c r="D41" s="1">
        <f>D40*(1+Sheet2!D40)</f>
        <v>87700.942430829746</v>
      </c>
      <c r="E41" s="1">
        <f>E40*(1+Sheet2!E40)</f>
        <v>132252.20902934927</v>
      </c>
      <c r="F41" s="1">
        <f>F40*(1+Sheet2!F40)</f>
        <v>99385.917575464147</v>
      </c>
      <c r="G41" s="1">
        <f>G40*(1+Sheet2!G40)</f>
        <v>14473.434087294068</v>
      </c>
      <c r="H41" s="1">
        <f>H40*(1+Sheet2!H40)</f>
        <v>53603.030659132528</v>
      </c>
      <c r="I41" s="1">
        <f>I40*(1+Sheet2!I40)</f>
        <v>9004.9341764334949</v>
      </c>
      <c r="J41">
        <f t="shared" si="0"/>
        <v>532843.31105948449</v>
      </c>
      <c r="K41">
        <v>570800</v>
      </c>
      <c r="N41">
        <f t="shared" si="1"/>
        <v>0.1355652863626583</v>
      </c>
      <c r="O41">
        <f t="shared" si="2"/>
        <v>6.1760712552133584E-2</v>
      </c>
      <c r="P41">
        <f t="shared" si="3"/>
        <v>5.8702068378993735E-2</v>
      </c>
      <c r="Q41">
        <f t="shared" si="4"/>
        <v>0.16459049144569099</v>
      </c>
      <c r="R41">
        <f t="shared" si="5"/>
        <v>0.24820093690654429</v>
      </c>
      <c r="S41">
        <f t="shared" si="6"/>
        <v>0.18651996846474272</v>
      </c>
      <c r="T41">
        <f t="shared" si="7"/>
        <v>0.10059811120186606</v>
      </c>
      <c r="U41">
        <f t="shared" si="8"/>
        <v>2.7162645728846004E-2</v>
      </c>
      <c r="V41">
        <f t="shared" si="9"/>
        <v>1.6899778958524302E-2</v>
      </c>
    </row>
    <row r="42" spans="1:22" x14ac:dyDescent="0.3">
      <c r="A42">
        <f>A41*(1+Sheet2!A41)</f>
        <v>68267.27897344438</v>
      </c>
      <c r="B42">
        <f>B41*(1+Sheet2!B41)</f>
        <v>31184.834653366535</v>
      </c>
      <c r="C42">
        <f>C41*(1+Sheet2!C41)</f>
        <v>30019.84929543137</v>
      </c>
      <c r="D42" s="1">
        <f>D41*(1+Sheet2!D41)</f>
        <v>89432.531783717452</v>
      </c>
      <c r="E42" s="1">
        <f>E41*(1+Sheet2!E41)</f>
        <v>138791.20856250569</v>
      </c>
      <c r="F42" s="1">
        <f>F41*(1+Sheet2!F41)</f>
        <v>106336.93124855826</v>
      </c>
      <c r="G42" s="1">
        <f>G41*(1+Sheet2!G41)</f>
        <v>14808.461608191166</v>
      </c>
      <c r="H42" s="1">
        <f>H41*(1+Sheet2!H41)</f>
        <v>55132.816167491008</v>
      </c>
      <c r="I42" s="1">
        <f>I41*(1+Sheet2!I41)</f>
        <v>9289.1272704075764</v>
      </c>
      <c r="J42">
        <f t="shared" si="0"/>
        <v>543263.03956311359</v>
      </c>
      <c r="K42">
        <v>569000</v>
      </c>
      <c r="N42">
        <f t="shared" si="1"/>
        <v>0.12566155619263958</v>
      </c>
      <c r="O42">
        <f t="shared" si="2"/>
        <v>5.7402827695484403E-2</v>
      </c>
      <c r="P42">
        <f t="shared" si="3"/>
        <v>5.525840543021851E-2</v>
      </c>
      <c r="Q42">
        <f t="shared" si="4"/>
        <v>0.16462104960359195</v>
      </c>
      <c r="R42">
        <f t="shared" si="5"/>
        <v>0.25547699448524996</v>
      </c>
      <c r="S42">
        <f t="shared" si="6"/>
        <v>0.19573746694432462</v>
      </c>
      <c r="T42">
        <f t="shared" si="7"/>
        <v>0.10148457036913139</v>
      </c>
      <c r="U42">
        <f t="shared" si="8"/>
        <v>2.7258363867529025E-2</v>
      </c>
      <c r="V42">
        <f t="shared" si="9"/>
        <v>1.7098765411830325E-2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7BA4A-E7B3-48AF-A1A5-6B4B8FCE378F}">
  <dimension ref="A2:W42"/>
  <sheetViews>
    <sheetView zoomScale="115" zoomScaleNormal="115" workbookViewId="0">
      <selection activeCell="J3" sqref="J3:J42"/>
    </sheetView>
  </sheetViews>
  <sheetFormatPr defaultRowHeight="14" x14ac:dyDescent="0.3"/>
  <cols>
    <col min="12" max="12" width="9.9140625" customWidth="1"/>
    <col min="14" max="14" width="13" bestFit="1" customWidth="1"/>
    <col min="16" max="16" width="12.75" bestFit="1" customWidth="1"/>
    <col min="18" max="18" width="9.1640625" bestFit="1" customWidth="1"/>
  </cols>
  <sheetData>
    <row r="2" spans="1:23" x14ac:dyDescent="0.3">
      <c r="A2" s="1">
        <v>0.57119676078916504</v>
      </c>
      <c r="B2" s="1">
        <v>0.19061655382893547</v>
      </c>
      <c r="C2" s="1">
        <v>8.319281393167309E-2</v>
      </c>
      <c r="D2" s="1">
        <v>7.6374135090044079E-2</v>
      </c>
      <c r="E2" s="1">
        <v>2.103414029394041E-2</v>
      </c>
      <c r="F2" s="1">
        <v>1.7941366280159389E-2</v>
      </c>
      <c r="G2" s="1">
        <v>2.4028564606983192E-2</v>
      </c>
      <c r="H2" s="1">
        <v>1.108356398325887E-2</v>
      </c>
      <c r="I2" s="1">
        <v>4.5321011958408073E-3</v>
      </c>
      <c r="J2" s="1">
        <f>SUM(A2:I2)</f>
        <v>1.0000000000000004</v>
      </c>
      <c r="Q2" s="1">
        <v>8.319281393167309E-2</v>
      </c>
      <c r="R2" s="1"/>
      <c r="T2" s="1"/>
    </row>
    <row r="3" spans="1:23" x14ac:dyDescent="0.3">
      <c r="A3" s="1">
        <v>0.55870525850115038</v>
      </c>
      <c r="B3" s="1">
        <v>0.18862325962119919</v>
      </c>
      <c r="C3" s="1">
        <v>8.3155355124300792E-2</v>
      </c>
      <c r="D3" s="1">
        <v>7.756233309004408E-2</v>
      </c>
      <c r="E3" s="1">
        <v>2.5515730396771324E-2</v>
      </c>
      <c r="F3" s="1">
        <v>2.4938893842009389E-2</v>
      </c>
      <c r="G3" s="1">
        <v>2.5171369788941838E-2</v>
      </c>
      <c r="H3" s="1">
        <v>1.2178615083258869E-2</v>
      </c>
      <c r="I3" s="1">
        <v>5.6301761958408069E-3</v>
      </c>
      <c r="J3" s="1">
        <f t="shared" ref="J3:J42" si="0">SUM(A3:I3)</f>
        <v>1.0014809916435168</v>
      </c>
      <c r="K3">
        <v>515800</v>
      </c>
      <c r="N3">
        <v>7.4820348291827418E-5</v>
      </c>
      <c r="O3">
        <v>1.0013000000000001</v>
      </c>
      <c r="P3">
        <f>N3*O3*0.5</f>
        <v>3.7458807372303398E-5</v>
      </c>
      <c r="Q3">
        <f>Q2-P3</f>
        <v>8.3155355124300792E-2</v>
      </c>
      <c r="R3">
        <f>K3*Q3</f>
        <v>42891.532173114349</v>
      </c>
    </row>
    <row r="4" spans="1:23" x14ac:dyDescent="0.3">
      <c r="A4" s="1">
        <v>0.54627719519313267</v>
      </c>
      <c r="B4" s="1">
        <v>0.18662702710949322</v>
      </c>
      <c r="C4" s="1">
        <v>8.3118435023436188E-2</v>
      </c>
      <c r="D4" s="1">
        <v>7.8758560290044077E-2</v>
      </c>
      <c r="E4" s="1">
        <v>2.994710164423528E-2</v>
      </c>
      <c r="F4" s="1">
        <v>3.193276170130939E-2</v>
      </c>
      <c r="G4" s="1">
        <v>2.6317906024773227E-2</v>
      </c>
      <c r="H4" s="1">
        <v>1.3275953083258869E-2</v>
      </c>
      <c r="I4" s="1">
        <v>6.7192058958408067E-3</v>
      </c>
      <c r="J4" s="1">
        <f t="shared" si="0"/>
        <v>1.0029741459655237</v>
      </c>
      <c r="K4">
        <v>533600</v>
      </c>
      <c r="N4">
        <v>7.4820348291827418E-5</v>
      </c>
      <c r="O4">
        <v>0.9869</v>
      </c>
      <c r="P4">
        <f t="shared" ref="P4:P17" si="1">N4*O4*0.5</f>
        <v>3.6920100864602239E-5</v>
      </c>
      <c r="Q4">
        <f t="shared" ref="Q4:Q17" si="2">Q3-P4</f>
        <v>8.3118435023436188E-2</v>
      </c>
      <c r="R4">
        <f t="shared" ref="R4:R42" si="3">K4*Q4</f>
        <v>44351.996928505549</v>
      </c>
    </row>
    <row r="5" spans="1:23" x14ac:dyDescent="0.3">
      <c r="A5" s="1">
        <v>0.53374757689146002</v>
      </c>
      <c r="B5" s="1">
        <v>0.18463481701390913</v>
      </c>
      <c r="C5" s="1">
        <v>8.3081154812235256E-2</v>
      </c>
      <c r="D5" s="1">
        <v>7.9955946690044077E-2</v>
      </c>
      <c r="E5" s="1">
        <v>3.4464689333656671E-2</v>
      </c>
      <c r="F5" s="1">
        <v>3.893409704615939E-2</v>
      </c>
      <c r="G5" s="1">
        <v>2.7473644624433979E-2</v>
      </c>
      <c r="H5" s="1">
        <v>1.4383053583258868E-2</v>
      </c>
      <c r="I5" s="1">
        <v>7.8138114958408063E-3</v>
      </c>
      <c r="J5" s="1">
        <f t="shared" si="0"/>
        <v>1.0044887914909981</v>
      </c>
      <c r="K5">
        <v>551400</v>
      </c>
      <c r="N5">
        <v>7.4820348291827418E-5</v>
      </c>
      <c r="O5">
        <v>0.99652600000000002</v>
      </c>
      <c r="P5">
        <f t="shared" si="1"/>
        <v>3.7280211200930804E-5</v>
      </c>
      <c r="Q5">
        <f t="shared" si="2"/>
        <v>8.3081154812235256E-2</v>
      </c>
      <c r="R5">
        <f t="shared" si="3"/>
        <v>45810.94876346652</v>
      </c>
    </row>
    <row r="6" spans="1:23" x14ac:dyDescent="0.3">
      <c r="A6" s="1">
        <v>0.52124543670219758</v>
      </c>
      <c r="B6" s="1">
        <v>0.18262684928818673</v>
      </c>
      <c r="C6" s="1">
        <v>8.3043414455892334E-2</v>
      </c>
      <c r="D6" s="1">
        <v>8.1159538290044075E-2</v>
      </c>
      <c r="E6" s="1">
        <v>3.8934724655606698E-2</v>
      </c>
      <c r="F6" s="1">
        <v>4.6014324013609387E-2</v>
      </c>
      <c r="G6" s="1">
        <v>2.861588609682485E-2</v>
      </c>
      <c r="H6" s="1">
        <v>1.5479943883258868E-2</v>
      </c>
      <c r="I6" s="1">
        <v>8.9178154958408067E-3</v>
      </c>
      <c r="J6" s="1">
        <f t="shared" si="0"/>
        <v>1.0060379328814613</v>
      </c>
      <c r="K6">
        <v>569200</v>
      </c>
      <c r="N6">
        <v>7.4820348291827418E-5</v>
      </c>
      <c r="O6">
        <v>1.008826</v>
      </c>
      <c r="P6">
        <f t="shared" si="1"/>
        <v>3.7740356342925546E-5</v>
      </c>
      <c r="Q6">
        <f t="shared" si="2"/>
        <v>8.3043414455892334E-2</v>
      </c>
      <c r="R6">
        <f t="shared" si="3"/>
        <v>47268.311508293918</v>
      </c>
    </row>
    <row r="7" spans="1:23" x14ac:dyDescent="0.3">
      <c r="A7" s="1">
        <v>0.50865620104582909</v>
      </c>
      <c r="B7" s="1">
        <v>0.18064123387482731</v>
      </c>
      <c r="C7" s="1">
        <v>8.3006515566596467E-2</v>
      </c>
      <c r="D7" s="1">
        <v>8.2370230290044075E-2</v>
      </c>
      <c r="E7" s="1">
        <v>4.3395427269922147E-2</v>
      </c>
      <c r="F7" s="1">
        <v>5.3116431630409383E-2</v>
      </c>
      <c r="G7" s="1">
        <v>2.976667939147758E-2</v>
      </c>
      <c r="H7" s="1">
        <v>1.658137498325887E-2</v>
      </c>
      <c r="I7" s="1">
        <v>1.0022681895840806E-2</v>
      </c>
      <c r="J7" s="1">
        <f t="shared" si="0"/>
        <v>1.0075567759482058</v>
      </c>
      <c r="K7">
        <v>587000</v>
      </c>
      <c r="N7">
        <v>7.4820348291827418E-5</v>
      </c>
      <c r="O7">
        <v>0.98633300000000002</v>
      </c>
      <c r="P7">
        <f t="shared" si="1"/>
        <v>3.689888929586151E-5</v>
      </c>
      <c r="Q7">
        <f t="shared" si="2"/>
        <v>8.3006515566596467E-2</v>
      </c>
      <c r="R7">
        <f t="shared" si="3"/>
        <v>48724.824637592123</v>
      </c>
    </row>
    <row r="8" spans="1:23" x14ac:dyDescent="0.3">
      <c r="A8" s="1">
        <v>0.49601901338937204</v>
      </c>
      <c r="B8" s="1">
        <v>0.17862733353537169</v>
      </c>
      <c r="C8" s="1">
        <v>8.2968864396108705E-2</v>
      </c>
      <c r="D8" s="1">
        <v>8.3570484690044078E-2</v>
      </c>
      <c r="E8" s="1">
        <v>4.7841019786162585E-2</v>
      </c>
      <c r="F8" s="1">
        <v>6.0217629610159383E-2</v>
      </c>
      <c r="G8" s="1">
        <v>3.0919078411980067E-2</v>
      </c>
      <c r="H8" s="1">
        <v>1.7691818383258871E-2</v>
      </c>
      <c r="I8" s="1">
        <v>1.1115755195840807E-2</v>
      </c>
      <c r="J8" s="1">
        <f t="shared" si="0"/>
        <v>1.0089709973982983</v>
      </c>
      <c r="K8">
        <v>594600</v>
      </c>
      <c r="N8">
        <v>7.4820348291827418E-5</v>
      </c>
      <c r="O8">
        <v>1.0064420000000001</v>
      </c>
      <c r="P8">
        <f t="shared" si="1"/>
        <v>3.7651170487761687E-5</v>
      </c>
      <c r="Q8">
        <f t="shared" si="2"/>
        <v>8.2968864396108705E-2</v>
      </c>
      <c r="R8">
        <f t="shared" si="3"/>
        <v>49333.286769926235</v>
      </c>
    </row>
    <row r="9" spans="1:23" x14ac:dyDescent="0.3">
      <c r="A9" s="1">
        <v>0.48356890995379859</v>
      </c>
      <c r="B9" s="1">
        <v>0.17664242619526296</v>
      </c>
      <c r="C9" s="1">
        <v>8.2931410190187821E-2</v>
      </c>
      <c r="D9" s="1">
        <v>8.4764271090044072E-2</v>
      </c>
      <c r="E9" s="1">
        <v>5.2316832498553061E-2</v>
      </c>
      <c r="F9" s="1">
        <v>6.7272548923559383E-2</v>
      </c>
      <c r="G9" s="1">
        <v>3.2068015382299704E-2</v>
      </c>
      <c r="H9" s="1">
        <v>1.8798133483258872E-2</v>
      </c>
      <c r="I9" s="1">
        <v>1.2200162695840807E-2</v>
      </c>
      <c r="J9" s="1">
        <f t="shared" si="0"/>
        <v>1.0105627104128052</v>
      </c>
      <c r="K9">
        <v>602200</v>
      </c>
      <c r="N9">
        <v>7.4820348291827418E-5</v>
      </c>
      <c r="O9">
        <v>1.001177</v>
      </c>
      <c r="P9">
        <f t="shared" si="1"/>
        <v>3.7454205920883451E-5</v>
      </c>
      <c r="Q9">
        <f t="shared" si="2"/>
        <v>8.2931410190187821E-2</v>
      </c>
      <c r="R9">
        <f t="shared" si="3"/>
        <v>49941.295216531107</v>
      </c>
    </row>
    <row r="10" spans="1:23" x14ac:dyDescent="0.3">
      <c r="A10" s="1">
        <v>0.47092843945855839</v>
      </c>
      <c r="B10" s="1">
        <v>0.17465913702255484</v>
      </c>
      <c r="C10" s="1">
        <v>8.2894723079887794E-2</v>
      </c>
      <c r="D10" s="1">
        <v>8.5960761090044066E-2</v>
      </c>
      <c r="E10" s="1">
        <v>5.6809977382264863E-2</v>
      </c>
      <c r="F10" s="1">
        <v>7.4381369520759383E-2</v>
      </c>
      <c r="G10" s="1">
        <v>3.3228046907821752E-2</v>
      </c>
      <c r="H10" s="1">
        <v>1.9889366483258872E-2</v>
      </c>
      <c r="I10" s="1">
        <v>1.3292923595840807E-2</v>
      </c>
      <c r="J10" s="1">
        <f t="shared" si="0"/>
        <v>1.0120447445409908</v>
      </c>
      <c r="K10">
        <v>609800</v>
      </c>
      <c r="N10">
        <v>7.4820348291827418E-5</v>
      </c>
      <c r="O10">
        <v>0.98067199999999999</v>
      </c>
      <c r="P10">
        <f t="shared" si="1"/>
        <v>3.6687110300021486E-5</v>
      </c>
      <c r="Q10">
        <f t="shared" si="2"/>
        <v>8.2894723079887794E-2</v>
      </c>
      <c r="R10">
        <f t="shared" si="3"/>
        <v>50549.202134115578</v>
      </c>
    </row>
    <row r="11" spans="1:23" x14ac:dyDescent="0.3">
      <c r="A11" s="1">
        <v>0.45830286703703266</v>
      </c>
      <c r="B11" s="1">
        <v>0.17264293844534487</v>
      </c>
      <c r="C11" s="1">
        <v>8.2856974979638814E-2</v>
      </c>
      <c r="D11" s="1">
        <v>8.715714789004407E-2</v>
      </c>
      <c r="E11" s="1">
        <v>6.1260014044997958E-2</v>
      </c>
      <c r="F11" s="1">
        <v>8.1413019049159388E-2</v>
      </c>
      <c r="G11" s="1">
        <v>3.4382554840661037E-2</v>
      </c>
      <c r="H11" s="1">
        <v>2.0996327283258873E-2</v>
      </c>
      <c r="I11" s="1">
        <v>1.4394789195840807E-2</v>
      </c>
      <c r="J11" s="1">
        <f t="shared" si="0"/>
        <v>1.0134066327659785</v>
      </c>
      <c r="K11">
        <v>617000</v>
      </c>
      <c r="N11">
        <v>7.4820348291827418E-5</v>
      </c>
      <c r="O11">
        <v>1.0090330000000001</v>
      </c>
      <c r="P11">
        <f t="shared" si="1"/>
        <v>3.7748100248973753E-5</v>
      </c>
      <c r="Q11">
        <f t="shared" si="2"/>
        <v>8.2856974979638814E-2</v>
      </c>
      <c r="R11">
        <f t="shared" si="3"/>
        <v>51122.753562437145</v>
      </c>
      <c r="W11" s="1"/>
    </row>
    <row r="12" spans="1:23" x14ac:dyDescent="0.3">
      <c r="A12" s="1">
        <v>0.44565291139309454</v>
      </c>
      <c r="B12" s="1">
        <v>0.17057688208491401</v>
      </c>
      <c r="C12" s="1">
        <v>8.2820011819663766E-2</v>
      </c>
      <c r="D12" s="1">
        <v>8.8353823890044064E-2</v>
      </c>
      <c r="E12" s="1">
        <v>6.5697607097551625E-2</v>
      </c>
      <c r="F12" s="1">
        <v>8.8396295630559382E-2</v>
      </c>
      <c r="G12" s="1">
        <v>3.5536864837394731E-2</v>
      </c>
      <c r="H12" s="1">
        <v>2.2101158483258873E-2</v>
      </c>
      <c r="I12" s="1">
        <v>1.5501380395840807E-2</v>
      </c>
      <c r="J12" s="1">
        <f t="shared" si="0"/>
        <v>1.0146369356323219</v>
      </c>
      <c r="K12">
        <v>624500</v>
      </c>
      <c r="N12">
        <v>7.4820348291827418E-5</v>
      </c>
      <c r="O12">
        <v>0.98805100000000001</v>
      </c>
      <c r="P12">
        <f t="shared" si="1"/>
        <v>3.6963159975044189E-5</v>
      </c>
      <c r="Q12">
        <f t="shared" si="2"/>
        <v>8.2820011819663766E-2</v>
      </c>
      <c r="R12">
        <f t="shared" si="3"/>
        <v>51721.097381380023</v>
      </c>
    </row>
    <row r="13" spans="1:23" x14ac:dyDescent="0.3">
      <c r="A13" s="1">
        <v>0.43301895645574462</v>
      </c>
      <c r="B13" s="1">
        <v>0.1665887098278753</v>
      </c>
      <c r="C13" s="1">
        <v>8.2782428062309815E-2</v>
      </c>
      <c r="D13" s="1">
        <v>8.9557739490044058E-2</v>
      </c>
      <c r="E13" s="1">
        <v>7.0227193982503169E-2</v>
      </c>
      <c r="F13" s="1">
        <v>9.5455854798059375E-2</v>
      </c>
      <c r="G13" s="1">
        <v>3.6680172737447642E-2</v>
      </c>
      <c r="H13" s="1">
        <v>2.3195387883258874E-2</v>
      </c>
      <c r="I13" s="1">
        <v>1.6600604895840806E-2</v>
      </c>
      <c r="J13" s="1">
        <f t="shared" si="0"/>
        <v>1.0141070481330838</v>
      </c>
      <c r="K13">
        <v>625000</v>
      </c>
      <c r="N13">
        <v>7.4820348291827418E-5</v>
      </c>
      <c r="O13">
        <v>1.00464</v>
      </c>
      <c r="P13">
        <f t="shared" si="1"/>
        <v>3.7583757353950749E-5</v>
      </c>
      <c r="Q13">
        <f t="shared" si="2"/>
        <v>8.2782428062309815E-2</v>
      </c>
      <c r="R13">
        <f t="shared" si="3"/>
        <v>51739.017538943634</v>
      </c>
    </row>
    <row r="14" spans="1:23" x14ac:dyDescent="0.3">
      <c r="A14" s="1">
        <v>0.42036808612771803</v>
      </c>
      <c r="B14" s="1">
        <v>0.16257568068242756</v>
      </c>
      <c r="C14" s="1">
        <v>8.2744533800510459E-2</v>
      </c>
      <c r="D14" s="1">
        <v>9.0756876690044064E-2</v>
      </c>
      <c r="E14" s="1">
        <v>7.4758558526051774E-2</v>
      </c>
      <c r="F14" s="1">
        <v>0.10246996737030938</v>
      </c>
      <c r="G14" s="1">
        <v>3.7820251087925125E-2</v>
      </c>
      <c r="H14" s="1">
        <v>2.4297344783258873E-2</v>
      </c>
      <c r="I14" s="1">
        <v>1.7695439295840807E-2</v>
      </c>
      <c r="J14" s="1">
        <f t="shared" si="0"/>
        <v>1.013486738364086</v>
      </c>
      <c r="K14">
        <v>625500</v>
      </c>
      <c r="N14">
        <v>7.4820348291827418E-5</v>
      </c>
      <c r="O14">
        <v>1.01294</v>
      </c>
      <c r="P14">
        <f t="shared" si="1"/>
        <v>3.7894261799361832E-5</v>
      </c>
      <c r="Q14">
        <f t="shared" si="2"/>
        <v>8.2744533800510459E-2</v>
      </c>
      <c r="R14">
        <f t="shared" si="3"/>
        <v>51756.705892219288</v>
      </c>
    </row>
    <row r="15" spans="1:23" x14ac:dyDescent="0.3">
      <c r="A15" s="1">
        <v>0.40792224286461132</v>
      </c>
      <c r="B15" s="1">
        <v>0.15860179784510978</v>
      </c>
      <c r="C15" s="1">
        <v>8.2707682235084887E-2</v>
      </c>
      <c r="D15" s="1">
        <v>9.1957293090044065E-2</v>
      </c>
      <c r="E15" s="1">
        <v>7.930769965557101E-2</v>
      </c>
      <c r="F15" s="1">
        <v>0.10959172737825937</v>
      </c>
      <c r="G15" s="1">
        <v>3.8964218520142473E-2</v>
      </c>
      <c r="H15" s="1">
        <v>2.5392773183258874E-2</v>
      </c>
      <c r="I15" s="1">
        <v>1.8781759695840807E-2</v>
      </c>
      <c r="J15" s="1">
        <f t="shared" si="0"/>
        <v>1.0132271944679225</v>
      </c>
      <c r="K15">
        <v>626000</v>
      </c>
      <c r="N15">
        <v>7.4820348291827418E-5</v>
      </c>
      <c r="O15">
        <v>0.98506800000000005</v>
      </c>
      <c r="P15">
        <f t="shared" si="1"/>
        <v>3.6851565425566926E-5</v>
      </c>
      <c r="Q15">
        <f t="shared" si="2"/>
        <v>8.2707682235084887E-2</v>
      </c>
      <c r="R15">
        <f t="shared" si="3"/>
        <v>51775.009079163137</v>
      </c>
    </row>
    <row r="16" spans="1:23" x14ac:dyDescent="0.3">
      <c r="A16" s="1">
        <v>0.39532245701642821</v>
      </c>
      <c r="B16" s="1">
        <v>0.1546394678161426</v>
      </c>
      <c r="C16" s="1">
        <v>8.2669866721702095E-2</v>
      </c>
      <c r="D16" s="1">
        <v>9.3159433890044066E-2</v>
      </c>
      <c r="E16" s="1">
        <v>8.375240334251291E-2</v>
      </c>
      <c r="F16" s="1">
        <v>0.11665967071980937</v>
      </c>
      <c r="G16" s="1">
        <v>4.0122093233506489E-2</v>
      </c>
      <c r="H16" s="1">
        <v>2.6482256083258875E-2</v>
      </c>
      <c r="I16" s="1">
        <v>1.9873827595840807E-2</v>
      </c>
      <c r="J16" s="1">
        <f t="shared" si="0"/>
        <v>1.0126814764192453</v>
      </c>
      <c r="K16">
        <v>626500</v>
      </c>
      <c r="N16">
        <v>7.4820348291827418E-5</v>
      </c>
      <c r="O16">
        <v>1.0108349999999999</v>
      </c>
      <c r="P16">
        <f t="shared" si="1"/>
        <v>3.7815513382784678E-5</v>
      </c>
      <c r="Q16">
        <f t="shared" si="2"/>
        <v>8.2669866721702095E-2</v>
      </c>
      <c r="R16">
        <f t="shared" si="3"/>
        <v>51792.67150114636</v>
      </c>
    </row>
    <row r="17" spans="1:22" x14ac:dyDescent="0.3">
      <c r="A17" s="1">
        <v>0.38284320898921487</v>
      </c>
      <c r="B17" s="1">
        <v>0.15062522594495639</v>
      </c>
      <c r="C17" s="1">
        <v>8.2632818565811395E-2</v>
      </c>
      <c r="D17" s="1">
        <v>9.4355737890044061E-2</v>
      </c>
      <c r="E17" s="1">
        <v>8.8144666100841526E-2</v>
      </c>
      <c r="F17" s="1">
        <v>0.12375513587070937</v>
      </c>
      <c r="G17" s="1">
        <v>4.1260676687707477E-2</v>
      </c>
      <c r="H17" s="1">
        <v>2.7574683683258876E-2</v>
      </c>
      <c r="I17" s="1">
        <v>2.0982633095840808E-2</v>
      </c>
      <c r="J17" s="1">
        <f t="shared" si="0"/>
        <v>1.0121747868283848</v>
      </c>
      <c r="K17">
        <v>626500</v>
      </c>
      <c r="N17">
        <v>7.4820348291827418E-5</v>
      </c>
      <c r="O17">
        <v>0.99032299999999995</v>
      </c>
      <c r="P17">
        <f t="shared" si="1"/>
        <v>3.7048155890703702E-5</v>
      </c>
      <c r="Q17">
        <f t="shared" si="2"/>
        <v>8.2632818565811395E-2</v>
      </c>
      <c r="R17">
        <f t="shared" si="3"/>
        <v>51769.460831480836</v>
      </c>
      <c r="V17">
        <v>8.2632818565811395E-2</v>
      </c>
    </row>
    <row r="18" spans="1:22" x14ac:dyDescent="0.3">
      <c r="A18" s="1">
        <v>0.37027788041833598</v>
      </c>
      <c r="B18" s="1">
        <v>0.14661485362629093</v>
      </c>
      <c r="C18" s="1">
        <v>8.2530514713548692E-2</v>
      </c>
      <c r="D18" s="1">
        <v>9.5555049090044059E-2</v>
      </c>
      <c r="E18" s="1">
        <v>9.2558705176984141E-2</v>
      </c>
      <c r="F18" s="1">
        <v>0.13084349316000937</v>
      </c>
      <c r="G18" s="1">
        <v>4.2413291245025353E-2</v>
      </c>
      <c r="H18" s="1">
        <v>2.8684447283258876E-2</v>
      </c>
      <c r="I18" s="1">
        <v>2.207586369584081E-2</v>
      </c>
      <c r="J18" s="1">
        <f t="shared" si="0"/>
        <v>1.0115540984093383</v>
      </c>
      <c r="K18">
        <v>626000</v>
      </c>
      <c r="N18">
        <v>7.4820348291827418E-5</v>
      </c>
      <c r="O18">
        <v>0.98272499999999996</v>
      </c>
      <c r="P18">
        <f t="shared" ref="P18:P42" si="4">N18*O18</f>
        <v>7.35278267750861E-5</v>
      </c>
      <c r="Q18">
        <v>8.2530514713548692E-2</v>
      </c>
      <c r="R18">
        <f t="shared" si="3"/>
        <v>51664.102210681478</v>
      </c>
      <c r="S18">
        <v>1.0531274263245572E-4</v>
      </c>
      <c r="T18">
        <v>0.97142899999999999</v>
      </c>
      <c r="U18">
        <f>S18*T18</f>
        <v>1.0230385226270382E-4</v>
      </c>
      <c r="V18">
        <f>V17-U18</f>
        <v>8.2530514713548692E-2</v>
      </c>
    </row>
    <row r="19" spans="1:22" x14ac:dyDescent="0.3">
      <c r="A19" s="1">
        <v>0.35771864138810067</v>
      </c>
      <c r="B19" s="1">
        <v>0.14264351192810276</v>
      </c>
      <c r="C19" s="1">
        <v>8.2424190442023246E-2</v>
      </c>
      <c r="D19" s="1">
        <v>9.6762989490044055E-2</v>
      </c>
      <c r="E19" s="1">
        <v>9.7056738621837862E-2</v>
      </c>
      <c r="F19" s="1">
        <v>0.13784099251605936</v>
      </c>
      <c r="G19" s="1">
        <v>4.3556598915098783E-2</v>
      </c>
      <c r="H19" s="1">
        <v>2.9777771383258878E-2</v>
      </c>
      <c r="I19" s="1">
        <v>2.3173599895840811E-2</v>
      </c>
      <c r="J19" s="1">
        <f t="shared" si="0"/>
        <v>1.0109550345803664</v>
      </c>
      <c r="K19">
        <v>624000</v>
      </c>
      <c r="N19">
        <v>7.4820348291827418E-5</v>
      </c>
      <c r="O19">
        <v>1.01102</v>
      </c>
      <c r="P19">
        <f t="shared" si="4"/>
        <v>7.5644868530003352E-5</v>
      </c>
      <c r="Q19">
        <v>8.2424190442023246E-2</v>
      </c>
      <c r="R19">
        <f t="shared" si="3"/>
        <v>51432.694835822505</v>
      </c>
      <c r="S19">
        <v>1.0531274263245572E-4</v>
      </c>
      <c r="T19">
        <v>1.0096050000000001</v>
      </c>
      <c r="U19">
        <f t="shared" ref="U19:U42" si="5">S19*T19</f>
        <v>1.0632427152544046E-4</v>
      </c>
      <c r="V19">
        <f t="shared" ref="V19:V42" si="6">V18-U19</f>
        <v>8.2424190442023246E-2</v>
      </c>
    </row>
    <row r="20" spans="1:22" x14ac:dyDescent="0.3">
      <c r="A20" s="1">
        <v>0.34522300422680952</v>
      </c>
      <c r="B20" s="1">
        <v>0.13864831862731505</v>
      </c>
      <c r="C20" s="1">
        <v>8.2319669124651676E-2</v>
      </c>
      <c r="D20" s="1">
        <v>9.7956015090044049E-2</v>
      </c>
      <c r="E20" s="1">
        <v>0.10148322130815991</v>
      </c>
      <c r="F20" s="1">
        <v>0.14485557753545936</v>
      </c>
      <c r="G20" s="1">
        <v>4.4697746963649462E-2</v>
      </c>
      <c r="H20" s="1">
        <v>3.0888596483258878E-2</v>
      </c>
      <c r="I20" s="1">
        <v>2.428395639584081E-2</v>
      </c>
      <c r="J20" s="1">
        <f t="shared" si="0"/>
        <v>1.0103561057551889</v>
      </c>
      <c r="K20">
        <v>622000</v>
      </c>
      <c r="N20">
        <v>7.4820348291827418E-5</v>
      </c>
      <c r="O20">
        <v>1.0197480000000001</v>
      </c>
      <c r="P20">
        <f t="shared" si="4"/>
        <v>7.6297900529894434E-5</v>
      </c>
      <c r="Q20">
        <v>8.2319669124651676E-2</v>
      </c>
      <c r="R20">
        <f t="shared" si="3"/>
        <v>51202.834195533345</v>
      </c>
      <c r="S20">
        <v>1.0531274263245572E-4</v>
      </c>
      <c r="T20">
        <v>0.99248499999999995</v>
      </c>
      <c r="U20">
        <f t="shared" si="5"/>
        <v>1.0452131737157281E-4</v>
      </c>
      <c r="V20">
        <f t="shared" si="6"/>
        <v>8.2319669124651676E-2</v>
      </c>
    </row>
    <row r="21" spans="1:22" x14ac:dyDescent="0.3">
      <c r="A21" s="1">
        <v>0.33261008702349371</v>
      </c>
      <c r="B21" s="1">
        <v>0.1346834793730535</v>
      </c>
      <c r="C21" s="1">
        <v>8.2213731666829923E-2</v>
      </c>
      <c r="D21" s="1">
        <v>9.915869949004405E-2</v>
      </c>
      <c r="E21" s="1">
        <v>0.10592970265369887</v>
      </c>
      <c r="F21" s="1">
        <v>0.15186127067640937</v>
      </c>
      <c r="G21" s="1">
        <v>4.5840257719070063E-2</v>
      </c>
      <c r="H21" s="1">
        <v>3.1992690683258877E-2</v>
      </c>
      <c r="I21" s="1">
        <v>2.5374365495840809E-2</v>
      </c>
      <c r="J21" s="1">
        <f t="shared" si="0"/>
        <v>1.009664284781699</v>
      </c>
      <c r="K21">
        <v>621000</v>
      </c>
      <c r="N21">
        <v>7.4820348291827418E-5</v>
      </c>
      <c r="O21">
        <v>1.0138320000000001</v>
      </c>
      <c r="P21">
        <f t="shared" si="4"/>
        <v>7.5855263349399984E-5</v>
      </c>
      <c r="Q21">
        <v>8.2213731666829923E-2</v>
      </c>
      <c r="R21">
        <f t="shared" si="3"/>
        <v>51054.727365101382</v>
      </c>
      <c r="S21">
        <v>1.0531274263245572E-4</v>
      </c>
      <c r="T21">
        <v>1.005932</v>
      </c>
      <c r="U21">
        <f t="shared" si="5"/>
        <v>1.0593745782175146E-4</v>
      </c>
      <c r="V21">
        <f t="shared" si="6"/>
        <v>8.2213731666829923E-2</v>
      </c>
    </row>
    <row r="22" spans="1:22" x14ac:dyDescent="0.3">
      <c r="A22" s="1">
        <v>0.3200135714841747</v>
      </c>
      <c r="B22" s="1">
        <v>0.13072718504817279</v>
      </c>
      <c r="C22" s="1">
        <v>8.2107470161699087E-2</v>
      </c>
      <c r="D22" s="1">
        <v>0.10036886469004405</v>
      </c>
      <c r="E22" s="1">
        <v>0.11035529651072237</v>
      </c>
      <c r="F22" s="1">
        <v>0.15891709962685938</v>
      </c>
      <c r="G22" s="1">
        <v>4.6982110497825198E-2</v>
      </c>
      <c r="H22" s="1">
        <v>3.3082050383258878E-2</v>
      </c>
      <c r="I22" s="1">
        <v>2.6480428695840809E-2</v>
      </c>
      <c r="J22" s="1">
        <f t="shared" si="0"/>
        <v>1.0090340770985973</v>
      </c>
      <c r="K22">
        <v>620000</v>
      </c>
      <c r="N22">
        <v>7.4820348291827418E-5</v>
      </c>
      <c r="O22">
        <v>0.99760700000000002</v>
      </c>
      <c r="P22">
        <f t="shared" si="4"/>
        <v>7.4641303198365075E-5</v>
      </c>
      <c r="Q22">
        <v>8.2107470161699087E-2</v>
      </c>
      <c r="R22">
        <f t="shared" si="3"/>
        <v>50906.631500253432</v>
      </c>
      <c r="S22">
        <v>1.0531274263245572E-4</v>
      </c>
      <c r="T22">
        <v>1.009009</v>
      </c>
      <c r="U22">
        <f t="shared" si="5"/>
        <v>1.0626150513083151E-4</v>
      </c>
      <c r="V22">
        <f t="shared" si="6"/>
        <v>8.2107470161699087E-2</v>
      </c>
    </row>
    <row r="23" spans="1:22" x14ac:dyDescent="0.3">
      <c r="A23" s="1">
        <v>0.30744749111815461</v>
      </c>
      <c r="B23" s="1">
        <v>0.12676301997368031</v>
      </c>
      <c r="C23" s="1">
        <v>8.2002768443599383E-2</v>
      </c>
      <c r="D23" s="1">
        <v>0.10156506669004405</v>
      </c>
      <c r="E23" s="1">
        <v>0.11474444836650613</v>
      </c>
      <c r="F23" s="1">
        <v>0.16602783821845937</v>
      </c>
      <c r="G23" s="1">
        <v>4.8139816483190691E-2</v>
      </c>
      <c r="H23" s="1">
        <v>3.4186365683258876E-2</v>
      </c>
      <c r="I23" s="1">
        <v>2.757814069584081E-2</v>
      </c>
      <c r="J23" s="1">
        <f t="shared" si="0"/>
        <v>1.0084549556727342</v>
      </c>
      <c r="K23">
        <v>617600</v>
      </c>
      <c r="N23">
        <v>7.4820348291827418E-5</v>
      </c>
      <c r="O23">
        <v>0.99148899999999995</v>
      </c>
      <c r="P23">
        <f t="shared" si="4"/>
        <v>7.4183552307515672E-5</v>
      </c>
      <c r="Q23">
        <v>8.2002768443599383E-2</v>
      </c>
      <c r="R23">
        <f t="shared" si="3"/>
        <v>50644.909790766978</v>
      </c>
      <c r="S23">
        <v>1.0531274263245572E-4</v>
      </c>
      <c r="T23">
        <v>0.99419800000000003</v>
      </c>
      <c r="U23">
        <f t="shared" si="5"/>
        <v>1.0470171809970222E-4</v>
      </c>
      <c r="V23">
        <f t="shared" si="6"/>
        <v>8.2002768443599383E-2</v>
      </c>
    </row>
    <row r="24" spans="1:22" x14ac:dyDescent="0.3">
      <c r="A24" s="1">
        <v>0.29498112384769354</v>
      </c>
      <c r="B24" s="1">
        <v>0.12274818370731308</v>
      </c>
      <c r="C24" s="1">
        <v>8.1894688187403294E-2</v>
      </c>
      <c r="D24" s="1">
        <v>0.10276157109004405</v>
      </c>
      <c r="E24" s="1">
        <v>0.11921270602985909</v>
      </c>
      <c r="F24" s="1">
        <v>0.17310401060215938</v>
      </c>
      <c r="G24" s="1">
        <v>4.9282747221559633E-2</v>
      </c>
      <c r="H24" s="1">
        <v>3.5275381083258874E-2</v>
      </c>
      <c r="I24" s="1">
        <v>2.866364929584081E-2</v>
      </c>
      <c r="J24" s="1">
        <f t="shared" si="0"/>
        <v>1.0079240610651319</v>
      </c>
      <c r="K24">
        <v>615200</v>
      </c>
      <c r="N24">
        <v>7.4820348291827418E-5</v>
      </c>
      <c r="O24">
        <v>1.0055730000000001</v>
      </c>
      <c r="P24">
        <f t="shared" si="4"/>
        <v>7.5237322092857782E-5</v>
      </c>
      <c r="Q24">
        <v>8.1894688187403294E-2</v>
      </c>
      <c r="R24">
        <f t="shared" si="3"/>
        <v>50381.612172890505</v>
      </c>
      <c r="S24">
        <v>1.0531274263245572E-4</v>
      </c>
      <c r="T24">
        <v>1.0262789999999999</v>
      </c>
      <c r="U24">
        <f t="shared" si="5"/>
        <v>1.0808025619609401E-4</v>
      </c>
      <c r="V24">
        <f t="shared" si="6"/>
        <v>8.1894688187403294E-2</v>
      </c>
    </row>
    <row r="25" spans="1:22" x14ac:dyDescent="0.3">
      <c r="A25" s="1">
        <v>0.28235879667519392</v>
      </c>
      <c r="B25" s="1">
        <v>0.11878315695926958</v>
      </c>
      <c r="C25" s="1">
        <v>8.1790245749275958E-2</v>
      </c>
      <c r="D25" s="1">
        <v>0.10397238549004405</v>
      </c>
      <c r="E25" s="1">
        <v>0.12373607110972094</v>
      </c>
      <c r="F25" s="1">
        <v>0.18016520570605937</v>
      </c>
      <c r="G25" s="1">
        <v>5.0439943054412989E-2</v>
      </c>
      <c r="H25" s="1">
        <v>3.6367197083258876E-2</v>
      </c>
      <c r="I25" s="1">
        <v>2.9752491995840808E-2</v>
      </c>
      <c r="J25" s="1">
        <f t="shared" si="0"/>
        <v>1.0073654938230765</v>
      </c>
      <c r="K25">
        <v>612799.99999999988</v>
      </c>
      <c r="N25">
        <v>7.4820348291827418E-5</v>
      </c>
      <c r="O25">
        <v>1.0025470000000001</v>
      </c>
      <c r="P25">
        <f t="shared" si="4"/>
        <v>7.5010915718926713E-5</v>
      </c>
      <c r="Q25">
        <v>8.1790245749275958E-2</v>
      </c>
      <c r="R25">
        <f t="shared" si="3"/>
        <v>50121.062595156298</v>
      </c>
      <c r="S25">
        <v>1.0531274263245572E-4</v>
      </c>
      <c r="T25">
        <v>0.99173599999999995</v>
      </c>
      <c r="U25">
        <f t="shared" si="5"/>
        <v>1.044424381273411E-4</v>
      </c>
      <c r="V25">
        <f t="shared" si="6"/>
        <v>8.1790245749275958E-2</v>
      </c>
    </row>
    <row r="26" spans="1:22" x14ac:dyDescent="0.3">
      <c r="A26" s="1">
        <v>0.26979712684066881</v>
      </c>
      <c r="B26" s="1">
        <v>0.11480471044351497</v>
      </c>
      <c r="C26" s="1">
        <v>8.1682991987484049E-2</v>
      </c>
      <c r="D26" s="1">
        <v>0.10518181629004404</v>
      </c>
      <c r="E26" s="1">
        <v>0.12821499472465625</v>
      </c>
      <c r="F26" s="1">
        <v>0.18728690930240938</v>
      </c>
      <c r="G26" s="1">
        <v>5.1592513127245665E-2</v>
      </c>
      <c r="H26" s="1">
        <v>3.7465808883258879E-2</v>
      </c>
      <c r="I26" s="1">
        <v>3.0846337495840807E-2</v>
      </c>
      <c r="J26" s="1">
        <f t="shared" si="0"/>
        <v>1.0068732090951229</v>
      </c>
      <c r="K26">
        <v>610399.99999999988</v>
      </c>
      <c r="N26">
        <v>7.4820348291827418E-5</v>
      </c>
      <c r="O26">
        <v>1.0005219999999999</v>
      </c>
      <c r="P26">
        <f t="shared" si="4"/>
        <v>7.4859404513635746E-5</v>
      </c>
      <c r="Q26">
        <v>8.1682991987484049E-2</v>
      </c>
      <c r="R26">
        <f t="shared" si="3"/>
        <v>49859.298309160251</v>
      </c>
      <c r="S26">
        <v>1.0531274263245572E-4</v>
      </c>
      <c r="T26">
        <v>1.0184310000000001</v>
      </c>
      <c r="U26">
        <f t="shared" si="5"/>
        <v>1.0725376179191451E-4</v>
      </c>
      <c r="V26">
        <f t="shared" si="6"/>
        <v>8.1682991987484049E-2</v>
      </c>
    </row>
    <row r="27" spans="1:22" x14ac:dyDescent="0.3">
      <c r="A27" s="1">
        <v>0.25729407196731796</v>
      </c>
      <c r="B27" s="1">
        <v>0.11078738090877097</v>
      </c>
      <c r="C27" s="1">
        <v>8.1579972851073379E-2</v>
      </c>
      <c r="D27" s="1">
        <v>0.10639190469004405</v>
      </c>
      <c r="E27" s="1">
        <v>0.13274058187776441</v>
      </c>
      <c r="F27" s="1">
        <v>0.19438637262545938</v>
      </c>
      <c r="G27" s="1">
        <v>5.2742909287150287E-2</v>
      </c>
      <c r="H27" s="1">
        <v>3.855842568325888E-2</v>
      </c>
      <c r="I27" s="1">
        <v>3.1942543595840804E-2</v>
      </c>
      <c r="J27" s="1">
        <f t="shared" si="0"/>
        <v>1.0064241634866802</v>
      </c>
      <c r="K27">
        <v>608000</v>
      </c>
      <c r="N27">
        <v>7.4820348291827418E-5</v>
      </c>
      <c r="O27">
        <v>0.98044600000000004</v>
      </c>
      <c r="P27">
        <f t="shared" si="4"/>
        <v>7.3357311201329025E-5</v>
      </c>
      <c r="Q27">
        <v>8.1579972851073379E-2</v>
      </c>
      <c r="R27">
        <f t="shared" si="3"/>
        <v>49600.623493452615</v>
      </c>
      <c r="S27">
        <v>1.0531274263245572E-4</v>
      </c>
      <c r="T27">
        <v>0.97822100000000001</v>
      </c>
      <c r="U27">
        <f t="shared" si="5"/>
        <v>1.0301913641066347E-4</v>
      </c>
      <c r="V27">
        <f t="shared" si="6"/>
        <v>8.1579972851073379E-2</v>
      </c>
    </row>
    <row r="28" spans="1:22" x14ac:dyDescent="0.3">
      <c r="A28" s="1">
        <v>0.24481922194168054</v>
      </c>
      <c r="B28" s="1">
        <v>0.10682807870492053</v>
      </c>
      <c r="C28" s="1">
        <v>8.1473884690716925E-2</v>
      </c>
      <c r="D28" s="1">
        <v>0.10759196949004404</v>
      </c>
      <c r="E28" s="1">
        <v>0.13715417653925779</v>
      </c>
      <c r="F28" s="1">
        <v>0.20138394249600938</v>
      </c>
      <c r="G28" s="1">
        <v>5.3902121936734541E-2</v>
      </c>
      <c r="H28" s="1">
        <v>3.965857088325888E-2</v>
      </c>
      <c r="I28" s="1">
        <v>3.3036181195840807E-2</v>
      </c>
      <c r="J28" s="1">
        <f t="shared" si="0"/>
        <v>1.0058481478784633</v>
      </c>
      <c r="K28">
        <v>604400</v>
      </c>
      <c r="N28">
        <v>7.4820348291827418E-5</v>
      </c>
      <c r="O28">
        <v>1.009279</v>
      </c>
      <c r="P28">
        <f t="shared" si="4"/>
        <v>7.5514606303627281E-5</v>
      </c>
      <c r="Q28">
        <v>8.1473884690716925E-2</v>
      </c>
      <c r="R28">
        <f t="shared" si="3"/>
        <v>49242.815907069307</v>
      </c>
      <c r="S28">
        <v>1.0531274263245572E-4</v>
      </c>
      <c r="T28">
        <v>1.007363</v>
      </c>
      <c r="U28">
        <f t="shared" si="5"/>
        <v>1.0608816035645849E-4</v>
      </c>
      <c r="V28">
        <f t="shared" si="6"/>
        <v>8.1473884690716925E-2</v>
      </c>
    </row>
    <row r="29" spans="1:22" x14ac:dyDescent="0.3">
      <c r="A29" s="1">
        <v>0.23219109341667479</v>
      </c>
      <c r="B29" s="1">
        <v>0.10282946663453461</v>
      </c>
      <c r="C29" s="1">
        <v>8.1366090042678849E-2</v>
      </c>
      <c r="D29" s="1">
        <v>0.10879228509004404</v>
      </c>
      <c r="E29" s="1">
        <v>0.1417019844248292</v>
      </c>
      <c r="F29" s="1">
        <v>0.20841829978120938</v>
      </c>
      <c r="G29" s="1">
        <v>5.5044427316308833E-2</v>
      </c>
      <c r="H29" s="1">
        <v>4.0756120083258879E-2</v>
      </c>
      <c r="I29" s="1">
        <v>3.4125387995840806E-2</v>
      </c>
      <c r="J29" s="1">
        <f t="shared" si="0"/>
        <v>1.0052251547853794</v>
      </c>
      <c r="K29">
        <v>600800</v>
      </c>
      <c r="N29">
        <v>7.4820348291827418E-5</v>
      </c>
      <c r="O29">
        <v>0.98049600000000003</v>
      </c>
      <c r="P29">
        <f t="shared" si="4"/>
        <v>7.3361052218743616E-5</v>
      </c>
      <c r="Q29">
        <v>8.1366090042678849E-2</v>
      </c>
      <c r="R29">
        <f t="shared" si="3"/>
        <v>48884.746897641453</v>
      </c>
      <c r="S29">
        <v>1.0531274263245572E-4</v>
      </c>
      <c r="T29">
        <v>1.0235669999999999</v>
      </c>
      <c r="U29">
        <f t="shared" si="5"/>
        <v>1.0779464803807479E-4</v>
      </c>
      <c r="V29">
        <f t="shared" si="6"/>
        <v>8.1366090042678849E-2</v>
      </c>
    </row>
    <row r="30" spans="1:22" x14ac:dyDescent="0.3">
      <c r="A30" s="1">
        <v>0.21958623295128868</v>
      </c>
      <c r="B30" s="1">
        <v>9.8821858851845301E-2</v>
      </c>
      <c r="C30" s="1">
        <v>8.1258029058714654E-2</v>
      </c>
      <c r="D30" s="1">
        <v>0.11000256669004405</v>
      </c>
      <c r="E30" s="1">
        <v>0.14617113091748068</v>
      </c>
      <c r="F30" s="1">
        <v>0.21546195792895936</v>
      </c>
      <c r="G30" s="1">
        <v>5.6187526068141112E-2</v>
      </c>
      <c r="H30" s="1">
        <v>4.1865017983258881E-2</v>
      </c>
      <c r="I30" s="1">
        <v>3.5229743995840807E-2</v>
      </c>
      <c r="J30" s="1">
        <f t="shared" si="0"/>
        <v>1.0045840644455737</v>
      </c>
      <c r="K30">
        <v>597200</v>
      </c>
      <c r="N30">
        <v>7.4820348291827418E-5</v>
      </c>
      <c r="O30">
        <v>0.98685800000000001</v>
      </c>
      <c r="P30">
        <f t="shared" si="4"/>
        <v>7.3837059274576219E-5</v>
      </c>
      <c r="Q30">
        <v>8.1258029058714654E-2</v>
      </c>
      <c r="R30">
        <f t="shared" si="3"/>
        <v>48527.294953864388</v>
      </c>
      <c r="S30">
        <v>1.0531274263245572E-4</v>
      </c>
      <c r="T30">
        <v>1.0260959999999999</v>
      </c>
      <c r="U30">
        <f t="shared" si="5"/>
        <v>1.0806098396419228E-4</v>
      </c>
      <c r="V30">
        <f t="shared" si="6"/>
        <v>8.1258029058714654E-2</v>
      </c>
    </row>
    <row r="31" spans="1:22" x14ac:dyDescent="0.3">
      <c r="A31" s="1">
        <v>0.20709618413388034</v>
      </c>
      <c r="B31" s="1">
        <v>9.4855308218169926E-2</v>
      </c>
      <c r="C31" s="1">
        <v>8.1155758064027653E-2</v>
      </c>
      <c r="D31" s="1">
        <v>0.11120229309004405</v>
      </c>
      <c r="E31" s="1">
        <v>0.1505776149445858</v>
      </c>
      <c r="F31" s="1">
        <v>0.22245729248985935</v>
      </c>
      <c r="G31" s="1">
        <v>5.7346918820707644E-2</v>
      </c>
      <c r="H31" s="1">
        <v>4.296161348325888E-2</v>
      </c>
      <c r="I31" s="1">
        <v>3.6336033795840807E-2</v>
      </c>
      <c r="J31" s="1">
        <f t="shared" si="0"/>
        <v>1.0039890170403745</v>
      </c>
      <c r="K31">
        <v>593600</v>
      </c>
      <c r="N31">
        <v>7.4820348291827418E-5</v>
      </c>
      <c r="O31">
        <v>0.98856999999999995</v>
      </c>
      <c r="P31">
        <f t="shared" si="4"/>
        <v>7.3965151710851822E-5</v>
      </c>
      <c r="Q31">
        <v>8.1155758064027653E-2</v>
      </c>
      <c r="R31">
        <f t="shared" si="3"/>
        <v>48174.057986806816</v>
      </c>
      <c r="S31">
        <v>1.0531274263245572E-4</v>
      </c>
      <c r="T31">
        <v>0.97111700000000001</v>
      </c>
      <c r="U31">
        <f t="shared" si="5"/>
        <v>1.0227099468700251E-4</v>
      </c>
      <c r="V31">
        <f t="shared" si="6"/>
        <v>8.1155758064027653E-2</v>
      </c>
    </row>
    <row r="32" spans="1:22" x14ac:dyDescent="0.3">
      <c r="A32" s="1">
        <v>0.1946368837377464</v>
      </c>
      <c r="B32" s="1">
        <v>9.084676296657096E-2</v>
      </c>
      <c r="C32" s="1">
        <v>8.1050306097949443E-2</v>
      </c>
      <c r="D32" s="1">
        <v>0.11240409069004405</v>
      </c>
      <c r="E32" s="1">
        <v>0.15512186751296309</v>
      </c>
      <c r="F32" s="1">
        <v>0.22950107051225935</v>
      </c>
      <c r="G32" s="1">
        <v>5.84881075147093E-2</v>
      </c>
      <c r="H32" s="1">
        <v>4.4056928583258881E-2</v>
      </c>
      <c r="I32" s="1">
        <v>3.7428277695840804E-2</v>
      </c>
      <c r="J32" s="1">
        <f t="shared" si="0"/>
        <v>1.0035342953113422</v>
      </c>
      <c r="K32">
        <v>590000</v>
      </c>
      <c r="N32">
        <v>7.4820348291827418E-5</v>
      </c>
      <c r="O32">
        <v>1.0069889999999999</v>
      </c>
      <c r="P32">
        <f t="shared" si="4"/>
        <v>7.5343267706038991E-5</v>
      </c>
      <c r="Q32">
        <v>8.1050306097949443E-2</v>
      </c>
      <c r="R32">
        <f t="shared" si="3"/>
        <v>47819.680597790168</v>
      </c>
      <c r="S32">
        <v>1.0531274263245572E-4</v>
      </c>
      <c r="T32">
        <v>1.001322</v>
      </c>
      <c r="U32">
        <f t="shared" si="5"/>
        <v>1.0545196607821583E-4</v>
      </c>
      <c r="V32">
        <f t="shared" si="6"/>
        <v>8.1050306097949443E-2</v>
      </c>
    </row>
    <row r="33" spans="1:22" x14ac:dyDescent="0.3">
      <c r="A33" s="1">
        <v>0.18220613902705843</v>
      </c>
      <c r="B33" s="1">
        <v>8.688123756485211E-2</v>
      </c>
      <c r="C33" s="1">
        <v>8.0943671680396956E-2</v>
      </c>
      <c r="D33" s="1">
        <v>0.11360190909004404</v>
      </c>
      <c r="E33" s="1">
        <v>0.15950435314900788</v>
      </c>
      <c r="F33" s="1">
        <v>0.23653037895925935</v>
      </c>
      <c r="G33" s="1">
        <v>5.9631313316465852E-2</v>
      </c>
      <c r="H33" s="1">
        <v>4.5148182483258879E-2</v>
      </c>
      <c r="I33" s="1">
        <v>3.8532947195840807E-2</v>
      </c>
      <c r="J33" s="1">
        <f t="shared" si="0"/>
        <v>1.0029801324661842</v>
      </c>
      <c r="K33">
        <v>587600</v>
      </c>
      <c r="N33">
        <v>7.4820348291827418E-5</v>
      </c>
      <c r="O33">
        <v>0.99448899999999996</v>
      </c>
      <c r="P33">
        <f t="shared" si="4"/>
        <v>7.4408013352391156E-5</v>
      </c>
      <c r="Q33">
        <v>8.0943671680396956E-2</v>
      </c>
      <c r="R33">
        <f t="shared" si="3"/>
        <v>47562.501479401253</v>
      </c>
      <c r="S33">
        <v>1.0531274263245572E-4</v>
      </c>
      <c r="T33">
        <v>1.0125500000000001</v>
      </c>
      <c r="U33">
        <f t="shared" si="5"/>
        <v>1.0663441755249304E-4</v>
      </c>
      <c r="V33">
        <f t="shared" si="6"/>
        <v>8.0943671680396956E-2</v>
      </c>
    </row>
    <row r="34" spans="1:22" x14ac:dyDescent="0.3">
      <c r="A34" s="1">
        <v>0.16975582258286165</v>
      </c>
      <c r="B34" s="1">
        <v>8.2856404289601379E-2</v>
      </c>
      <c r="C34" s="1">
        <v>8.0837332349149318E-2</v>
      </c>
      <c r="D34" s="1">
        <v>0.11480483709004405</v>
      </c>
      <c r="E34" s="1">
        <v>0.16401083047219764</v>
      </c>
      <c r="F34" s="1">
        <v>0.24364951582780936</v>
      </c>
      <c r="G34" s="1">
        <v>6.0776638096586934E-2</v>
      </c>
      <c r="H34" s="1">
        <v>4.6240401083258879E-2</v>
      </c>
      <c r="I34" s="1">
        <v>3.9636059095840809E-2</v>
      </c>
      <c r="J34" s="1">
        <f t="shared" si="0"/>
        <v>1.0025678408873502</v>
      </c>
      <c r="K34">
        <v>585200</v>
      </c>
      <c r="N34">
        <v>7.4820348291827418E-5</v>
      </c>
      <c r="O34">
        <v>0.997197</v>
      </c>
      <c r="P34">
        <f t="shared" si="4"/>
        <v>7.4610626855565427E-5</v>
      </c>
      <c r="Q34">
        <v>8.0837332349149318E-2</v>
      </c>
      <c r="R34">
        <f t="shared" si="3"/>
        <v>47306.006890722179</v>
      </c>
      <c r="S34">
        <v>1.0531274263245572E-4</v>
      </c>
      <c r="T34">
        <v>1.0097480000000001</v>
      </c>
      <c r="U34">
        <f t="shared" si="5"/>
        <v>1.063393312476369E-4</v>
      </c>
      <c r="V34">
        <f t="shared" si="6"/>
        <v>8.0837332349149318E-2</v>
      </c>
    </row>
    <row r="35" spans="1:22" x14ac:dyDescent="0.3">
      <c r="A35" s="1">
        <v>0.1572773263507895</v>
      </c>
      <c r="B35" s="1">
        <v>7.885529895083869E-2</v>
      </c>
      <c r="C35" s="1">
        <v>8.0733612145810957E-2</v>
      </c>
      <c r="D35" s="1">
        <v>0.11601259989004405</v>
      </c>
      <c r="E35" s="1">
        <v>0.16852797374696976</v>
      </c>
      <c r="F35" s="1">
        <v>0.25070935705330938</v>
      </c>
      <c r="G35" s="1">
        <v>6.1922724766580006E-2</v>
      </c>
      <c r="H35" s="1">
        <v>4.7337521283258882E-2</v>
      </c>
      <c r="I35" s="1">
        <v>4.074168009584081E-2</v>
      </c>
      <c r="J35" s="1">
        <f t="shared" si="0"/>
        <v>1.002118094283442</v>
      </c>
      <c r="K35">
        <v>582799.99999999988</v>
      </c>
      <c r="N35">
        <v>7.4820348291827418E-5</v>
      </c>
      <c r="O35">
        <v>1.008157</v>
      </c>
      <c r="P35">
        <f t="shared" si="4"/>
        <v>7.5430657872843849E-5</v>
      </c>
      <c r="Q35">
        <v>8.0733612145810957E-2</v>
      </c>
      <c r="R35">
        <f t="shared" si="3"/>
        <v>47051.549158578615</v>
      </c>
      <c r="S35">
        <v>1.0531274263245572E-4</v>
      </c>
      <c r="T35">
        <v>0.98487800000000003</v>
      </c>
      <c r="U35">
        <f t="shared" si="5"/>
        <v>1.0372020333836773E-4</v>
      </c>
      <c r="V35">
        <f t="shared" si="6"/>
        <v>8.0733612145810957E-2</v>
      </c>
    </row>
    <row r="36" spans="1:22" x14ac:dyDescent="0.3">
      <c r="A36" s="1">
        <v>0.14469905437356323</v>
      </c>
      <c r="B36" s="1">
        <v>7.4830477643276175E-2</v>
      </c>
      <c r="C36" s="1">
        <v>8.0625974097821171E-2</v>
      </c>
      <c r="D36" s="1">
        <v>0.11720230269004404</v>
      </c>
      <c r="E36" s="1">
        <v>0.17308200343763089</v>
      </c>
      <c r="F36" s="1">
        <v>0.25780677545585939</v>
      </c>
      <c r="G36" s="1">
        <v>6.3064112447862766E-2</v>
      </c>
      <c r="H36" s="1">
        <v>4.8437206683258884E-2</v>
      </c>
      <c r="I36" s="1">
        <v>4.1837424195840807E-2</v>
      </c>
      <c r="J36" s="1">
        <f t="shared" si="0"/>
        <v>1.0015853310251575</v>
      </c>
      <c r="K36">
        <v>580399.99999999988</v>
      </c>
      <c r="N36">
        <v>7.4820348291827418E-5</v>
      </c>
      <c r="O36">
        <v>1.0024729999999999</v>
      </c>
      <c r="P36">
        <f t="shared" si="4"/>
        <v>7.5005379013153101E-5</v>
      </c>
      <c r="Q36">
        <v>8.0625974097821171E-2</v>
      </c>
      <c r="R36">
        <f t="shared" si="3"/>
        <v>46795.315366375398</v>
      </c>
      <c r="S36">
        <v>1.0531274263245572E-4</v>
      </c>
      <c r="T36">
        <v>1.0220800000000001</v>
      </c>
      <c r="U36">
        <f t="shared" si="5"/>
        <v>1.0763804798978035E-4</v>
      </c>
      <c r="V36">
        <f t="shared" si="6"/>
        <v>8.0625974097821171E-2</v>
      </c>
    </row>
    <row r="37" spans="1:22" x14ac:dyDescent="0.3">
      <c r="A37" s="1">
        <v>0.13219418266195454</v>
      </c>
      <c r="B37" s="1">
        <v>7.0838898584327445E-2</v>
      </c>
      <c r="C37" s="1">
        <v>8.0523628331086894E-2</v>
      </c>
      <c r="D37" s="1">
        <v>0.11839660149004405</v>
      </c>
      <c r="E37" s="1">
        <v>0.17760714617608978</v>
      </c>
      <c r="F37" s="1">
        <v>0.2647920405461594</v>
      </c>
      <c r="G37" s="1">
        <v>6.4219945510690407E-2</v>
      </c>
      <c r="H37" s="1">
        <v>4.9540327383258885E-2</v>
      </c>
      <c r="I37" s="1">
        <v>4.2940484395840806E-2</v>
      </c>
      <c r="J37" s="1">
        <f t="shared" si="0"/>
        <v>1.0010532550794522</v>
      </c>
      <c r="K37">
        <v>578000</v>
      </c>
      <c r="N37">
        <v>7.4820348291827418E-5</v>
      </c>
      <c r="O37">
        <v>1.0065390000000001</v>
      </c>
      <c r="P37">
        <f t="shared" si="4"/>
        <v>7.5309598549307686E-5</v>
      </c>
      <c r="Q37">
        <v>8.0523628331086894E-2</v>
      </c>
      <c r="R37">
        <f t="shared" si="3"/>
        <v>46542.657175368222</v>
      </c>
      <c r="S37">
        <v>1.0531274263245572E-4</v>
      </c>
      <c r="T37">
        <v>0.971827</v>
      </c>
      <c r="U37">
        <f t="shared" si="5"/>
        <v>1.0234576673427154E-4</v>
      </c>
      <c r="V37">
        <f t="shared" si="6"/>
        <v>8.0523628331086894E-2</v>
      </c>
    </row>
    <row r="38" spans="1:22" x14ac:dyDescent="0.3">
      <c r="A38" s="1">
        <v>0.11976626971296503</v>
      </c>
      <c r="B38" s="1">
        <v>6.6849908535261154E-2</v>
      </c>
      <c r="C38" s="1">
        <v>8.0420999799638654E-2</v>
      </c>
      <c r="D38" s="1">
        <v>0.11959445829004405</v>
      </c>
      <c r="E38" s="1">
        <v>0.18202696264267285</v>
      </c>
      <c r="F38" s="1">
        <v>0.27182947226355941</v>
      </c>
      <c r="G38" s="1">
        <v>6.5365005716514837E-2</v>
      </c>
      <c r="H38" s="1">
        <v>5.0640739883258887E-2</v>
      </c>
      <c r="I38" s="1">
        <v>4.4050273295840804E-2</v>
      </c>
      <c r="J38" s="1">
        <f t="shared" si="0"/>
        <v>1.0005440901397558</v>
      </c>
      <c r="K38">
        <v>576200</v>
      </c>
      <c r="N38">
        <v>7.4820348291827418E-5</v>
      </c>
      <c r="O38">
        <v>0.98917999999999995</v>
      </c>
      <c r="P38">
        <f t="shared" si="4"/>
        <v>7.4010792123309848E-5</v>
      </c>
      <c r="Q38">
        <v>8.0420999799638654E-2</v>
      </c>
      <c r="R38">
        <f t="shared" si="3"/>
        <v>46338.580084551795</v>
      </c>
      <c r="S38">
        <v>1.0531274263245572E-4</v>
      </c>
      <c r="T38">
        <v>0.97451200000000004</v>
      </c>
      <c r="U38">
        <f t="shared" si="5"/>
        <v>1.0262853144823968E-4</v>
      </c>
      <c r="V38">
        <f t="shared" si="6"/>
        <v>8.0420999799638654E-2</v>
      </c>
    </row>
    <row r="39" spans="1:22" x14ac:dyDescent="0.3">
      <c r="A39" s="1">
        <v>0.10732976123952798</v>
      </c>
      <c r="B39" s="1">
        <v>6.2848699476533987E-2</v>
      </c>
      <c r="C39" s="1">
        <v>8.0314560842536492E-2</v>
      </c>
      <c r="D39" s="1">
        <v>0.12080104149004404</v>
      </c>
      <c r="E39" s="1">
        <v>0.18649210940348096</v>
      </c>
      <c r="F39" s="1">
        <v>0.2789285407054094</v>
      </c>
      <c r="G39" s="1">
        <v>6.6524691368016184E-2</v>
      </c>
      <c r="H39" s="1">
        <v>5.1734420383258886E-2</v>
      </c>
      <c r="I39" s="1">
        <v>4.5156323295840801E-2</v>
      </c>
      <c r="J39" s="1">
        <f t="shared" si="0"/>
        <v>1.0001301482046487</v>
      </c>
      <c r="K39">
        <v>574400</v>
      </c>
      <c r="N39">
        <v>7.4820348291827418E-5</v>
      </c>
      <c r="O39">
        <v>0.99503699999999995</v>
      </c>
      <c r="P39">
        <f t="shared" si="4"/>
        <v>7.4449014903255081E-5</v>
      </c>
      <c r="Q39">
        <v>8.0314560842536492E-2</v>
      </c>
      <c r="R39">
        <f t="shared" si="3"/>
        <v>46132.683747952964</v>
      </c>
      <c r="S39">
        <v>1.0531274263245572E-4</v>
      </c>
      <c r="T39">
        <v>1.010694</v>
      </c>
      <c r="U39">
        <f t="shared" si="5"/>
        <v>1.064389571021672E-4</v>
      </c>
      <c r="V39">
        <f t="shared" si="6"/>
        <v>8.0314560842536492E-2</v>
      </c>
    </row>
    <row r="40" spans="1:22" x14ac:dyDescent="0.3">
      <c r="A40" s="1">
        <v>9.4874019340395646E-2</v>
      </c>
      <c r="B40" s="1">
        <v>5.8866806266575325E-2</v>
      </c>
      <c r="C40" s="1">
        <v>8.0209783931138548E-2</v>
      </c>
      <c r="D40" s="1">
        <v>0.12199757469004405</v>
      </c>
      <c r="E40" s="1">
        <v>0.19087726152742132</v>
      </c>
      <c r="F40" s="1">
        <v>0.28598513826390942</v>
      </c>
      <c r="G40" s="1">
        <v>6.7682409818163577E-2</v>
      </c>
      <c r="H40" s="1">
        <v>5.2839635483258887E-2</v>
      </c>
      <c r="I40" s="1">
        <v>4.6264756995840803E-2</v>
      </c>
      <c r="J40" s="1">
        <f t="shared" si="0"/>
        <v>0.99959738631674755</v>
      </c>
      <c r="K40">
        <v>572600</v>
      </c>
      <c r="N40">
        <v>7.4820348291827418E-5</v>
      </c>
      <c r="O40">
        <v>1.0165949999999999</v>
      </c>
      <c r="P40">
        <f t="shared" si="4"/>
        <v>7.6061991971730292E-5</v>
      </c>
      <c r="Q40">
        <v>8.0209783931138548E-2</v>
      </c>
      <c r="R40">
        <f t="shared" si="3"/>
        <v>45928.122278969931</v>
      </c>
      <c r="S40">
        <v>1.0531274263245572E-4</v>
      </c>
      <c r="T40">
        <v>0.99491200000000002</v>
      </c>
      <c r="U40">
        <f t="shared" si="5"/>
        <v>1.0477691139794179E-4</v>
      </c>
      <c r="V40">
        <f t="shared" si="6"/>
        <v>8.0209783931138548E-2</v>
      </c>
    </row>
    <row r="41" spans="1:22" x14ac:dyDescent="0.3">
      <c r="A41" s="1">
        <v>8.2319040482627059E-2</v>
      </c>
      <c r="B41" s="1">
        <v>5.4892241271029665E-2</v>
      </c>
      <c r="C41" s="1">
        <v>8.0106333012483086E-2</v>
      </c>
      <c r="D41" s="1">
        <v>0.12320854509004404</v>
      </c>
      <c r="E41" s="1">
        <v>0.19537751704552137</v>
      </c>
      <c r="F41" s="1">
        <v>0.29309581339245944</v>
      </c>
      <c r="G41" s="1">
        <v>6.8843470055430664E-2</v>
      </c>
      <c r="H41" s="1">
        <v>5.3939748783258884E-2</v>
      </c>
      <c r="I41" s="1">
        <v>4.7362598795840802E-2</v>
      </c>
      <c r="J41" s="1">
        <f t="shared" si="0"/>
        <v>0.99914530792869505</v>
      </c>
      <c r="K41">
        <v>570800</v>
      </c>
      <c r="N41">
        <v>7.4820348291827418E-5</v>
      </c>
      <c r="O41">
        <v>0.99738199999999999</v>
      </c>
      <c r="P41">
        <f t="shared" si="4"/>
        <v>7.4624468619999409E-5</v>
      </c>
      <c r="Q41">
        <v>8.0106333012483086E-2</v>
      </c>
      <c r="R41">
        <f t="shared" si="3"/>
        <v>45724.694883525342</v>
      </c>
      <c r="S41">
        <v>1.0531274263245572E-4</v>
      </c>
      <c r="T41">
        <v>0.982321</v>
      </c>
      <c r="U41">
        <f t="shared" si="5"/>
        <v>1.0345091865545654E-4</v>
      </c>
      <c r="V41">
        <f t="shared" si="6"/>
        <v>8.0106333012483086E-2</v>
      </c>
    </row>
    <row r="42" spans="1:22" x14ac:dyDescent="0.3">
      <c r="A42" s="1">
        <v>6.9838451754078601E-2</v>
      </c>
      <c r="B42" s="1">
        <v>5.0924134837887186E-2</v>
      </c>
      <c r="C42" s="1">
        <v>8.0002005470557955E-2</v>
      </c>
      <c r="D42" s="1">
        <v>0.12439963629004404</v>
      </c>
      <c r="E42" s="1">
        <v>0.19978933404841764</v>
      </c>
      <c r="F42" s="1">
        <v>0.30015024615580943</v>
      </c>
      <c r="G42" s="1">
        <v>6.9996378168099033E-2</v>
      </c>
      <c r="H42" s="1">
        <v>5.5038184583258883E-2</v>
      </c>
      <c r="I42" s="1">
        <v>4.8471864095840804E-2</v>
      </c>
      <c r="J42" s="1">
        <f t="shared" si="0"/>
        <v>0.99861023540399352</v>
      </c>
      <c r="K42">
        <v>569000</v>
      </c>
      <c r="N42">
        <v>7.4820348291827418E-5</v>
      </c>
      <c r="O42">
        <v>0.992591</v>
      </c>
      <c r="P42">
        <f t="shared" si="4"/>
        <v>7.4266004331333262E-5</v>
      </c>
      <c r="Q42">
        <v>8.0002005470557955E-2</v>
      </c>
      <c r="R42">
        <f t="shared" si="3"/>
        <v>45521.141112747478</v>
      </c>
      <c r="S42">
        <v>1.0531274263245572E-4</v>
      </c>
      <c r="T42">
        <v>0.990645</v>
      </c>
      <c r="U42">
        <f t="shared" si="5"/>
        <v>1.043275419251291E-4</v>
      </c>
      <c r="V42">
        <f t="shared" si="6"/>
        <v>8.0002005470557955E-2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43A2A-61E9-4352-B5F2-3278D620A028}">
  <dimension ref="A2:Y41"/>
  <sheetViews>
    <sheetView workbookViewId="0">
      <selection activeCell="G2" sqref="G2:G41"/>
    </sheetView>
  </sheetViews>
  <sheetFormatPr defaultRowHeight="14" x14ac:dyDescent="0.3"/>
  <cols>
    <col min="1" max="1" width="8.75" bestFit="1" customWidth="1"/>
    <col min="2" max="2" width="9.25" bestFit="1" customWidth="1"/>
    <col min="3" max="3" width="9.1640625" bestFit="1" customWidth="1"/>
    <col min="4" max="5" width="8.75" bestFit="1" customWidth="1"/>
    <col min="6" max="7" width="9.1640625" bestFit="1" customWidth="1"/>
    <col min="8" max="10" width="8.75" bestFit="1" customWidth="1"/>
    <col min="11" max="11" width="9.25" bestFit="1" customWidth="1"/>
    <col min="12" max="12" width="10.25" bestFit="1" customWidth="1"/>
    <col min="16" max="16" width="10.1640625" bestFit="1" customWidth="1"/>
  </cols>
  <sheetData>
    <row r="2" spans="1:25" x14ac:dyDescent="0.3">
      <c r="A2">
        <v>515800</v>
      </c>
      <c r="B2">
        <f>$A2*Sheet4!A3</f>
        <v>288180.17233489337</v>
      </c>
      <c r="C2">
        <f>$A2*Sheet4!B3</f>
        <v>97291.877312614539</v>
      </c>
      <c r="D2">
        <f>$A2*Sheet4!C3</f>
        <v>42891.532173114349</v>
      </c>
      <c r="E2">
        <f>$A2*Sheet4!D3</f>
        <v>40006.651407844736</v>
      </c>
      <c r="F2">
        <f>$A2*Sheet4!E3</f>
        <v>13161.013738654648</v>
      </c>
      <c r="G2">
        <f>$A2*Sheet4!F3</f>
        <v>12863.481443708442</v>
      </c>
      <c r="H2">
        <f>$A2*Sheet4!G3</f>
        <v>12983.3925371362</v>
      </c>
      <c r="I2">
        <f>$A2*Sheet4!H3</f>
        <v>6281.7296599449246</v>
      </c>
      <c r="J2">
        <f>$A2*Sheet4!I3</f>
        <v>2904.0448818146883</v>
      </c>
      <c r="K2">
        <f>SUM(B2:J2)</f>
        <v>516563.89548972598</v>
      </c>
      <c r="L2">
        <v>1.0014809916435168</v>
      </c>
      <c r="M2">
        <v>1.000562</v>
      </c>
      <c r="N2" s="1">
        <f t="shared" ref="N2:N4" si="0">L2/M2</f>
        <v>1.0009184754603082</v>
      </c>
      <c r="P2">
        <f>B2/$N2</f>
        <v>287915.72880335076</v>
      </c>
      <c r="Q2">
        <f t="shared" ref="Q2:Y2" si="1">C2/$N2</f>
        <v>97202.599110653231</v>
      </c>
      <c r="R2">
        <f t="shared" si="1"/>
        <v>42852.173503330669</v>
      </c>
      <c r="S2">
        <f t="shared" si="1"/>
        <v>39969.939998805843</v>
      </c>
      <c r="T2">
        <f t="shared" si="1"/>
        <v>13148.936762908772</v>
      </c>
      <c r="U2">
        <f t="shared" si="1"/>
        <v>12851.677493307045</v>
      </c>
      <c r="V2">
        <f t="shared" si="1"/>
        <v>12971.478552401904</v>
      </c>
      <c r="W2">
        <f t="shared" si="1"/>
        <v>6275.9653397905822</v>
      </c>
      <c r="X2">
        <f t="shared" si="1"/>
        <v>2901.3800354510981</v>
      </c>
      <c r="Y2">
        <f t="shared" si="1"/>
        <v>516089.87959999999</v>
      </c>
    </row>
    <row r="3" spans="1:25" x14ac:dyDescent="0.3">
      <c r="A3">
        <v>533600</v>
      </c>
      <c r="B3">
        <f>$A3*Sheet4!A4</f>
        <v>291493.51135505561</v>
      </c>
      <c r="C3">
        <f>$A3*Sheet4!B4</f>
        <v>99584.181665625583</v>
      </c>
      <c r="D3">
        <f>$A3*Sheet4!C4</f>
        <v>44351.996928505549</v>
      </c>
      <c r="E3">
        <f>$A3*Sheet4!D4</f>
        <v>42025.56777076752</v>
      </c>
      <c r="F3">
        <f>$A3*Sheet4!E4</f>
        <v>15979.773437363945</v>
      </c>
      <c r="G3">
        <f>$A3*Sheet4!F4</f>
        <v>17039.32164381869</v>
      </c>
      <c r="H3">
        <f>$A3*Sheet4!G4</f>
        <v>14043.234654818994</v>
      </c>
      <c r="I3">
        <f>$A3*Sheet4!H4</f>
        <v>7084.0485652269326</v>
      </c>
      <c r="J3">
        <f>$A3*Sheet4!I4</f>
        <v>3585.3682660206546</v>
      </c>
      <c r="K3">
        <f t="shared" ref="K3:K41" si="2">SUM(B3:J3)</f>
        <v>535187.00428720354</v>
      </c>
      <c r="L3">
        <v>1.0029741459655237</v>
      </c>
      <c r="M3">
        <v>1.0006211</v>
      </c>
      <c r="N3" s="1">
        <f t="shared" si="0"/>
        <v>1.0023515853958342</v>
      </c>
      <c r="P3">
        <f t="shared" ref="P3:P41" si="3">B3/$N3</f>
        <v>290809.64763471013</v>
      </c>
      <c r="Q3">
        <f t="shared" ref="Q3:Q41" si="4">C3/$N3</f>
        <v>99350.550362325448</v>
      </c>
      <c r="R3">
        <f t="shared" ref="R3:R41" si="5">D3/$N3</f>
        <v>44247.94410934233</v>
      </c>
      <c r="S3">
        <f t="shared" ref="S3:S41" si="6">E3/$N3</f>
        <v>41926.972913572426</v>
      </c>
      <c r="T3">
        <f t="shared" ref="T3:T41" si="7">F3/$N3</f>
        <v>15942.283795613934</v>
      </c>
      <c r="U3">
        <f t="shared" ref="U3:U41" si="8">G3/$N3</f>
        <v>16999.346229486699</v>
      </c>
      <c r="V3">
        <f t="shared" ref="V3:V41" si="9">H3/$N3</f>
        <v>14010.288265542316</v>
      </c>
      <c r="W3">
        <f t="shared" ref="W3:W41" si="10">I3/$N3</f>
        <v>7067.4289026334027</v>
      </c>
      <c r="X3">
        <f t="shared" ref="X3:X41" si="11">J3/$N3</f>
        <v>3576.9567467734114</v>
      </c>
      <c r="Y3">
        <f t="shared" ref="Y3:Y41" si="12">K3/$N3</f>
        <v>533931.41896000016</v>
      </c>
    </row>
    <row r="4" spans="1:25" x14ac:dyDescent="0.3">
      <c r="A4">
        <v>551400</v>
      </c>
      <c r="B4">
        <f>$A4*Sheet4!A5</f>
        <v>294308.41389795108</v>
      </c>
      <c r="C4">
        <f>$A4*Sheet4!B5</f>
        <v>101807.63810146949</v>
      </c>
      <c r="D4">
        <f>$A4*Sheet4!C5</f>
        <v>45810.94876346652</v>
      </c>
      <c r="E4">
        <f>$A4*Sheet4!D5</f>
        <v>44087.709004890305</v>
      </c>
      <c r="F4">
        <f>$A4*Sheet4!E5</f>
        <v>19003.829698578287</v>
      </c>
      <c r="G4">
        <f>$A4*Sheet4!F5</f>
        <v>21468.261111252286</v>
      </c>
      <c r="H4">
        <f>$A4*Sheet4!G5</f>
        <v>15148.967645912895</v>
      </c>
      <c r="I4">
        <f>$A4*Sheet4!H5</f>
        <v>7930.8157458089399</v>
      </c>
      <c r="J4">
        <f>$A4*Sheet4!I5</f>
        <v>4308.5356588066206</v>
      </c>
      <c r="K4">
        <f t="shared" si="2"/>
        <v>553875.11962813628</v>
      </c>
      <c r="L4">
        <v>1.0044887914909981</v>
      </c>
      <c r="M4">
        <v>1.0009999999999999</v>
      </c>
      <c r="N4" s="1">
        <f t="shared" si="0"/>
        <v>1.0034853061848135</v>
      </c>
      <c r="P4">
        <f t="shared" si="3"/>
        <v>293286.22161583282</v>
      </c>
      <c r="Q4">
        <f t="shared" si="4"/>
        <v>101454.03970939602</v>
      </c>
      <c r="R4">
        <f t="shared" si="5"/>
        <v>45651.838129685028</v>
      </c>
      <c r="S4">
        <f t="shared" si="6"/>
        <v>43934.583529188822</v>
      </c>
      <c r="T4">
        <f t="shared" si="7"/>
        <v>18937.82557796449</v>
      </c>
      <c r="U4">
        <f t="shared" si="8"/>
        <v>21393.697524952542</v>
      </c>
      <c r="V4">
        <f t="shared" si="9"/>
        <v>15096.352236096305</v>
      </c>
      <c r="W4">
        <f t="shared" si="10"/>
        <v>7903.2704285042209</v>
      </c>
      <c r="X4">
        <f t="shared" si="11"/>
        <v>4293.5712483797051</v>
      </c>
      <c r="Y4">
        <f t="shared" si="12"/>
        <v>551951.39999999979</v>
      </c>
    </row>
    <row r="5" spans="1:25" s="1" customFormat="1" x14ac:dyDescent="0.3">
      <c r="A5" s="1">
        <v>569200</v>
      </c>
      <c r="B5" s="1">
        <f>$A5*Sheet4!A6</f>
        <v>296692.90257089084</v>
      </c>
      <c r="C5" s="1">
        <f>$A5*Sheet4!B6</f>
        <v>103951.20261483589</v>
      </c>
      <c r="D5" s="1">
        <f>$A5*Sheet4!C6</f>
        <v>47268.311508293918</v>
      </c>
      <c r="E5" s="1">
        <f>$A5*Sheet4!D6</f>
        <v>46196.009194693084</v>
      </c>
      <c r="F5" s="1">
        <f>$A5*Sheet4!E6</f>
        <v>22161.645273971331</v>
      </c>
      <c r="G5" s="1">
        <f>$A5*Sheet4!F6</f>
        <v>26191.353228546464</v>
      </c>
      <c r="H5" s="1">
        <f>$A5*Sheet4!G6</f>
        <v>16288.162366312705</v>
      </c>
      <c r="I5" s="1">
        <f>$A5*Sheet4!H6</f>
        <v>8811.1840583509475</v>
      </c>
      <c r="J5" s="1">
        <f>$A5*Sheet4!I6</f>
        <v>5076.0205802325872</v>
      </c>
      <c r="K5" s="1">
        <f t="shared" si="2"/>
        <v>572636.79139612778</v>
      </c>
      <c r="L5" s="1">
        <v>1.0060379328814613</v>
      </c>
      <c r="M5" s="1">
        <f>1.002</f>
        <v>1.002</v>
      </c>
      <c r="N5" s="1">
        <f>L5/M5</f>
        <v>1.0040298731351909</v>
      </c>
      <c r="P5">
        <f t="shared" si="3"/>
        <v>295502.06673077907</v>
      </c>
      <c r="Q5">
        <f t="shared" si="4"/>
        <v>103533.97383509827</v>
      </c>
      <c r="R5">
        <f t="shared" si="5"/>
        <v>47078.590760146959</v>
      </c>
      <c r="S5">
        <f t="shared" si="6"/>
        <v>46010.592344669087</v>
      </c>
      <c r="T5">
        <f t="shared" si="7"/>
        <v>22072.695112914538</v>
      </c>
      <c r="U5">
        <f t="shared" si="8"/>
        <v>26086.229034960044</v>
      </c>
      <c r="V5">
        <f t="shared" si="9"/>
        <v>16222.786594437845</v>
      </c>
      <c r="W5">
        <f t="shared" si="10"/>
        <v>8775.8186226442449</v>
      </c>
      <c r="X5">
        <f t="shared" si="11"/>
        <v>5055.646964349944</v>
      </c>
      <c r="Y5">
        <f t="shared" si="12"/>
        <v>570338.4</v>
      </c>
    </row>
    <row r="6" spans="1:25" s="1" customFormat="1" x14ac:dyDescent="0.3">
      <c r="A6" s="1">
        <v>587000</v>
      </c>
      <c r="B6" s="1">
        <f>$A6*Sheet4!A7</f>
        <v>298581.19001390168</v>
      </c>
      <c r="C6" s="1">
        <f>$A6*Sheet4!B7</f>
        <v>106036.40428452363</v>
      </c>
      <c r="D6" s="1">
        <f>$A6*Sheet4!C7</f>
        <v>48724.824637592123</v>
      </c>
      <c r="E6" s="1">
        <f>$A6*Sheet4!D7</f>
        <v>48351.325180255873</v>
      </c>
      <c r="F6" s="1">
        <f>$A6*Sheet4!E7</f>
        <v>25473.115807444301</v>
      </c>
      <c r="G6" s="1">
        <f>$A6*Sheet4!F7</f>
        <v>31179.345367050308</v>
      </c>
      <c r="H6" s="1">
        <f>$A6*Sheet4!G7</f>
        <v>17473.040802797339</v>
      </c>
      <c r="I6" s="1">
        <f>$A6*Sheet4!H7</f>
        <v>9733.2671151729573</v>
      </c>
      <c r="J6" s="1">
        <f>$A6*Sheet4!I7</f>
        <v>5883.3142728585535</v>
      </c>
      <c r="K6" s="1">
        <f t="shared" si="2"/>
        <v>591435.82748159661</v>
      </c>
      <c r="L6" s="1">
        <v>1.0075567759482058</v>
      </c>
      <c r="M6" s="1">
        <v>1.0029999999999999</v>
      </c>
      <c r="N6" s="1">
        <f>L6/M6</f>
        <v>1.0045431465086798</v>
      </c>
      <c r="P6">
        <f t="shared" si="3"/>
        <v>297230.82682075893</v>
      </c>
      <c r="Q6">
        <f t="shared" si="4"/>
        <v>105556.84407688845</v>
      </c>
      <c r="R6">
        <f t="shared" si="5"/>
        <v>48504.461761485036</v>
      </c>
      <c r="S6">
        <f t="shared" si="6"/>
        <v>48132.651492673431</v>
      </c>
      <c r="T6">
        <f t="shared" si="7"/>
        <v>25357.911102153143</v>
      </c>
      <c r="U6">
        <f t="shared" si="8"/>
        <v>31038.333669803102</v>
      </c>
      <c r="V6">
        <f t="shared" si="9"/>
        <v>17394.017234128194</v>
      </c>
      <c r="W6">
        <f t="shared" si="10"/>
        <v>9689.2474444738618</v>
      </c>
      <c r="X6">
        <f t="shared" si="11"/>
        <v>5856.7063976357722</v>
      </c>
      <c r="Y6">
        <f t="shared" si="12"/>
        <v>588760.99999999977</v>
      </c>
    </row>
    <row r="7" spans="1:25" s="1" customFormat="1" x14ac:dyDescent="0.3">
      <c r="A7" s="1">
        <v>594600</v>
      </c>
      <c r="B7" s="1">
        <f>$A7*Sheet4!A8</f>
        <v>294932.90536132059</v>
      </c>
      <c r="C7" s="1">
        <f>$A7*Sheet4!B8</f>
        <v>106211.81252013201</v>
      </c>
      <c r="D7" s="1">
        <f>$A7*Sheet4!C8</f>
        <v>49333.286769926235</v>
      </c>
      <c r="E7" s="1">
        <f>$A7*Sheet4!D8</f>
        <v>49691.010196700212</v>
      </c>
      <c r="F7" s="1">
        <f>$A7*Sheet4!E8</f>
        <v>28446.270364852273</v>
      </c>
      <c r="G7" s="1">
        <f>$A7*Sheet4!F8</f>
        <v>35805.40256620077</v>
      </c>
      <c r="H7" s="1">
        <f>$A7*Sheet4!G8</f>
        <v>18384.484023763347</v>
      </c>
      <c r="I7" s="1">
        <f>$A7*Sheet4!H8</f>
        <v>10519.555210685725</v>
      </c>
      <c r="J7" s="1">
        <f>$A7*Sheet4!I8</f>
        <v>6609.4280394469433</v>
      </c>
      <c r="K7" s="1">
        <f t="shared" si="2"/>
        <v>599934.15505302814</v>
      </c>
      <c r="L7" s="1">
        <v>1.0089709973982983</v>
      </c>
      <c r="M7" s="1">
        <v>1.004</v>
      </c>
      <c r="N7" s="1">
        <f>L7/M7</f>
        <v>1.0049511926277872</v>
      </c>
      <c r="P7">
        <f t="shared" si="3"/>
        <v>293479.8301896812</v>
      </c>
      <c r="Q7">
        <f t="shared" si="4"/>
        <v>105688.52825817844</v>
      </c>
      <c r="R7">
        <f t="shared" si="5"/>
        <v>49090.231577244616</v>
      </c>
      <c r="S7">
        <f t="shared" si="6"/>
        <v>49446.192572562795</v>
      </c>
      <c r="T7">
        <f t="shared" si="7"/>
        <v>28306.121305722132</v>
      </c>
      <c r="U7">
        <f t="shared" si="8"/>
        <v>35628.996541190572</v>
      </c>
      <c r="V7">
        <f t="shared" si="9"/>
        <v>18293.907364486877</v>
      </c>
      <c r="W7">
        <f t="shared" si="10"/>
        <v>10467.727475578953</v>
      </c>
      <c r="X7">
        <f t="shared" si="11"/>
        <v>6576.864715354327</v>
      </c>
      <c r="Y7">
        <f t="shared" si="12"/>
        <v>596978.39999999991</v>
      </c>
    </row>
    <row r="8" spans="1:25" s="1" customFormat="1" x14ac:dyDescent="0.3">
      <c r="A8" s="1">
        <v>602200</v>
      </c>
      <c r="B8" s="1">
        <f>$A8*Sheet4!A9</f>
        <v>291205.19757417752</v>
      </c>
      <c r="C8" s="1">
        <f>$A8*Sheet4!B9</f>
        <v>106374.06905478735</v>
      </c>
      <c r="D8" s="1">
        <f>$A8*Sheet4!C9</f>
        <v>49941.295216531107</v>
      </c>
      <c r="E8" s="1">
        <f>$A8*Sheet4!D9</f>
        <v>51045.044050424542</v>
      </c>
      <c r="F8" s="1">
        <f>$A8*Sheet4!E9</f>
        <v>31505.196530628655</v>
      </c>
      <c r="G8" s="1">
        <f>$A8*Sheet4!F9</f>
        <v>40511.528961767457</v>
      </c>
      <c r="H8" s="1">
        <f>$A8*Sheet4!G9</f>
        <v>19311.358863220881</v>
      </c>
      <c r="I8" s="1">
        <f>$A8*Sheet4!H9</f>
        <v>11320.235983618493</v>
      </c>
      <c r="J8" s="1">
        <f>$A8*Sheet4!I9</f>
        <v>7346.937975435334</v>
      </c>
      <c r="K8" s="1">
        <f t="shared" si="2"/>
        <v>608560.8642105913</v>
      </c>
      <c r="L8" s="1">
        <v>1.0105627104128052</v>
      </c>
      <c r="M8" s="1">
        <v>1.0049999999999999</v>
      </c>
      <c r="N8" s="1">
        <f t="shared" ref="N8:N36" si="13">L8/M8</f>
        <v>1.0055350352366221</v>
      </c>
      <c r="P8">
        <f t="shared" si="3"/>
        <v>289602.23897683609</v>
      </c>
      <c r="Q8">
        <f t="shared" si="4"/>
        <v>105788.52583665118</v>
      </c>
      <c r="R8">
        <f t="shared" si="5"/>
        <v>49666.389997817372</v>
      </c>
      <c r="S8">
        <f t="shared" si="6"/>
        <v>50764.063172013339</v>
      </c>
      <c r="T8">
        <f t="shared" si="7"/>
        <v>31331.774057196191</v>
      </c>
      <c r="U8">
        <f t="shared" si="8"/>
        <v>40288.530525676113</v>
      </c>
      <c r="V8">
        <f t="shared" si="9"/>
        <v>19205.058189421055</v>
      </c>
      <c r="W8">
        <f t="shared" si="10"/>
        <v>11257.92298321522</v>
      </c>
      <c r="X8">
        <f t="shared" si="11"/>
        <v>7306.4962611734909</v>
      </c>
      <c r="Y8">
        <f t="shared" si="12"/>
        <v>605211</v>
      </c>
    </row>
    <row r="9" spans="1:25" s="1" customFormat="1" x14ac:dyDescent="0.3">
      <c r="A9" s="1">
        <v>609800</v>
      </c>
      <c r="B9" s="1">
        <f>$A9*Sheet4!A10</f>
        <v>287172.16238182888</v>
      </c>
      <c r="C9" s="1">
        <f>$A9*Sheet4!B10</f>
        <v>106507.14175635394</v>
      </c>
      <c r="D9" s="1">
        <f>$A9*Sheet4!C10</f>
        <v>50549.202134115578</v>
      </c>
      <c r="E9" s="1">
        <f>$A9*Sheet4!D10</f>
        <v>52418.872112708872</v>
      </c>
      <c r="F9" s="1">
        <f>$A9*Sheet4!E10</f>
        <v>34642.724207705112</v>
      </c>
      <c r="G9" s="1">
        <f>$A9*Sheet4!F10</f>
        <v>45357.759133759071</v>
      </c>
      <c r="H9" s="1">
        <f>$A9*Sheet4!G10</f>
        <v>20262.463004389705</v>
      </c>
      <c r="I9" s="1">
        <f>$A9*Sheet4!H10</f>
        <v>12128.535681491261</v>
      </c>
      <c r="J9" s="1">
        <f>$A9*Sheet4!I10</f>
        <v>8106.024808743724</v>
      </c>
      <c r="K9" s="1">
        <f t="shared" si="2"/>
        <v>617144.8852210961</v>
      </c>
      <c r="L9" s="1">
        <v>1.0120447445409908</v>
      </c>
      <c r="M9" s="1">
        <v>1.006</v>
      </c>
      <c r="N9" s="1">
        <f t="shared" si="13"/>
        <v>1.0060086923866707</v>
      </c>
      <c r="P9">
        <f t="shared" si="3"/>
        <v>285456.93944307498</v>
      </c>
      <c r="Q9">
        <f t="shared" si="4"/>
        <v>105870.99551165382</v>
      </c>
      <c r="R9">
        <f t="shared" si="5"/>
        <v>50247.281675262529</v>
      </c>
      <c r="S9">
        <f t="shared" si="6"/>
        <v>52105.784482189236</v>
      </c>
      <c r="T9">
        <f t="shared" si="7"/>
        <v>34435.810018219796</v>
      </c>
      <c r="U9">
        <f t="shared" si="8"/>
        <v>45086.846144591073</v>
      </c>
      <c r="V9">
        <f t="shared" si="9"/>
        <v>20141.439291462506</v>
      </c>
      <c r="W9">
        <f t="shared" si="10"/>
        <v>12056.09431934165</v>
      </c>
      <c r="X9">
        <f t="shared" si="11"/>
        <v>8057.6091142044352</v>
      </c>
      <c r="Y9">
        <f t="shared" si="12"/>
        <v>613458.79999999993</v>
      </c>
    </row>
    <row r="10" spans="1:25" s="1" customFormat="1" x14ac:dyDescent="0.3">
      <c r="A10" s="1">
        <v>617000</v>
      </c>
      <c r="B10" s="1">
        <f>$A10*Sheet4!A11</f>
        <v>282772.86896184913</v>
      </c>
      <c r="C10" s="1">
        <f>$A10*Sheet4!B11</f>
        <v>106520.69302077778</v>
      </c>
      <c r="D10" s="1">
        <f>$A10*Sheet4!C11</f>
        <v>51122.753562437145</v>
      </c>
      <c r="E10" s="1">
        <f>$A10*Sheet4!D11</f>
        <v>53775.960248157193</v>
      </c>
      <c r="F10" s="1">
        <f>$A10*Sheet4!E11</f>
        <v>37797.428665763742</v>
      </c>
      <c r="G10" s="1">
        <f>$A10*Sheet4!F11</f>
        <v>50231.832753331342</v>
      </c>
      <c r="H10" s="1">
        <f>$A10*Sheet4!G11</f>
        <v>21214.036336687859</v>
      </c>
      <c r="I10" s="1">
        <f>$A10*Sheet4!H11</f>
        <v>12954.733933770725</v>
      </c>
      <c r="J10" s="1">
        <f>$A10*Sheet4!I11</f>
        <v>8881.5849338337775</v>
      </c>
      <c r="K10" s="1">
        <f t="shared" si="2"/>
        <v>625271.89241660875</v>
      </c>
      <c r="L10" s="1">
        <v>1.0134066327659785</v>
      </c>
      <c r="M10" s="1">
        <v>1.0069999999999999</v>
      </c>
      <c r="N10" s="1">
        <f t="shared" si="13"/>
        <v>1.0063620980794228</v>
      </c>
      <c r="P10">
        <f t="shared" si="3"/>
        <v>280985.21347485454</v>
      </c>
      <c r="Q10">
        <f t="shared" si="4"/>
        <v>105847.2822297915</v>
      </c>
      <c r="R10">
        <f t="shared" si="5"/>
        <v>50799.561768076943</v>
      </c>
      <c r="S10">
        <f t="shared" si="6"/>
        <v>53435.995205687046</v>
      </c>
      <c r="T10">
        <f t="shared" si="7"/>
        <v>37558.477945361512</v>
      </c>
      <c r="U10">
        <f t="shared" si="8"/>
        <v>49914.273251343191</v>
      </c>
      <c r="V10">
        <f t="shared" si="9"/>
        <v>21079.923794003651</v>
      </c>
      <c r="W10">
        <f t="shared" si="10"/>
        <v>12872.83569054717</v>
      </c>
      <c r="X10">
        <f t="shared" si="11"/>
        <v>8825.4366403342392</v>
      </c>
      <c r="Y10">
        <f t="shared" si="12"/>
        <v>621318.99999999988</v>
      </c>
    </row>
    <row r="11" spans="1:25" s="1" customFormat="1" x14ac:dyDescent="0.3">
      <c r="A11" s="1">
        <v>624500</v>
      </c>
      <c r="B11" s="1">
        <f>$A11*Sheet4!A12</f>
        <v>278310.24316498754</v>
      </c>
      <c r="C11" s="1">
        <f>$A11*Sheet4!B12</f>
        <v>106525.2628620288</v>
      </c>
      <c r="D11" s="1">
        <f>$A11*Sheet4!C12</f>
        <v>51721.097381380023</v>
      </c>
      <c r="E11" s="1">
        <f>$A11*Sheet4!D12</f>
        <v>55176.963019332521</v>
      </c>
      <c r="F11" s="1">
        <f>$A11*Sheet4!E12</f>
        <v>41028.155632420989</v>
      </c>
      <c r="G11" s="1">
        <f>$A11*Sheet4!F12</f>
        <v>55203.486621284334</v>
      </c>
      <c r="H11" s="1">
        <f>$A11*Sheet4!G12</f>
        <v>22192.772090953011</v>
      </c>
      <c r="I11" s="1">
        <f>$A11*Sheet4!H12</f>
        <v>13802.173472795166</v>
      </c>
      <c r="J11" s="1">
        <f>$A11*Sheet4!I12</f>
        <v>9680.6120572025829</v>
      </c>
      <c r="K11" s="1">
        <f t="shared" si="2"/>
        <v>633640.7663023849</v>
      </c>
      <c r="L11" s="1">
        <v>1.0146369356323219</v>
      </c>
      <c r="M11" s="1">
        <v>1.008</v>
      </c>
      <c r="N11" s="1">
        <f t="shared" si="13"/>
        <v>1.0065842615400018</v>
      </c>
      <c r="P11">
        <f t="shared" si="3"/>
        <v>276489.76225715352</v>
      </c>
      <c r="Q11">
        <f t="shared" si="4"/>
        <v>105828.46059906876</v>
      </c>
      <c r="R11">
        <f t="shared" si="5"/>
        <v>51382.779721044368</v>
      </c>
      <c r="S11">
        <f t="shared" si="6"/>
        <v>54816.039876200448</v>
      </c>
      <c r="T11">
        <f t="shared" si="7"/>
        <v>40759.78256370793</v>
      </c>
      <c r="U11">
        <f t="shared" si="8"/>
        <v>54842.389982162997</v>
      </c>
      <c r="V11">
        <f t="shared" si="9"/>
        <v>22047.604894000287</v>
      </c>
      <c r="W11">
        <f t="shared" si="10"/>
        <v>13711.890797575981</v>
      </c>
      <c r="X11">
        <f t="shared" si="11"/>
        <v>9617.2893090856996</v>
      </c>
      <c r="Y11">
        <f t="shared" si="12"/>
        <v>629495.99999999988</v>
      </c>
    </row>
    <row r="12" spans="1:25" s="1" customFormat="1" x14ac:dyDescent="0.3">
      <c r="A12" s="1">
        <v>625000</v>
      </c>
      <c r="B12" s="1">
        <f>$A12*Sheet4!A13</f>
        <v>270636.84778484039</v>
      </c>
      <c r="C12" s="1">
        <f>$A12*Sheet4!B13</f>
        <v>104117.94364242206</v>
      </c>
      <c r="D12" s="1">
        <f>$A12*Sheet4!C13</f>
        <v>51739.017538943634</v>
      </c>
      <c r="E12" s="1">
        <f>$A12*Sheet4!D13</f>
        <v>55973.587181277537</v>
      </c>
      <c r="F12" s="1">
        <f>$A12*Sheet4!E13</f>
        <v>43891.99623906448</v>
      </c>
      <c r="G12" s="1">
        <f>$A12*Sheet4!F13</f>
        <v>59659.909248787109</v>
      </c>
      <c r="H12" s="1">
        <f>$A12*Sheet4!G13</f>
        <v>22925.107960904777</v>
      </c>
      <c r="I12" s="1">
        <f>$A12*Sheet4!H13</f>
        <v>14497.117427036796</v>
      </c>
      <c r="J12" s="1">
        <f>$A12*Sheet4!I13</f>
        <v>10375.378059900504</v>
      </c>
      <c r="K12" s="1">
        <f t="shared" si="2"/>
        <v>633816.90508317726</v>
      </c>
      <c r="L12" s="1">
        <v>1.0141070481330838</v>
      </c>
      <c r="M12" s="1">
        <v>1.008</v>
      </c>
      <c r="N12" s="1">
        <f t="shared" si="13"/>
        <v>1.0060585794971069</v>
      </c>
      <c r="P12">
        <f t="shared" si="3"/>
        <v>269007.04720407253</v>
      </c>
      <c r="Q12">
        <f t="shared" si="4"/>
        <v>103490.93558196873</v>
      </c>
      <c r="R12">
        <f t="shared" si="5"/>
        <v>51427.44030353197</v>
      </c>
      <c r="S12">
        <f t="shared" si="6"/>
        <v>55636.508968748873</v>
      </c>
      <c r="T12">
        <f t="shared" si="7"/>
        <v>43627.674504803224</v>
      </c>
      <c r="U12">
        <f t="shared" si="8"/>
        <v>59300.631657660524</v>
      </c>
      <c r="V12">
        <f t="shared" si="9"/>
        <v>22787.050802115547</v>
      </c>
      <c r="W12">
        <f t="shared" si="10"/>
        <v>14409.814420829642</v>
      </c>
      <c r="X12">
        <f t="shared" si="11"/>
        <v>10312.89655626891</v>
      </c>
      <c r="Y12">
        <f t="shared" si="12"/>
        <v>629999.99999999988</v>
      </c>
    </row>
    <row r="13" spans="1:25" s="1" customFormat="1" x14ac:dyDescent="0.3">
      <c r="A13" s="1">
        <v>625500</v>
      </c>
      <c r="B13" s="1">
        <f>$A13*Sheet4!A14</f>
        <v>262940.23787288764</v>
      </c>
      <c r="C13" s="1">
        <f>$A13*Sheet4!B14</f>
        <v>101691.08826685844</v>
      </c>
      <c r="D13" s="1">
        <f>$A13*Sheet4!C14</f>
        <v>51756.705892219288</v>
      </c>
      <c r="E13" s="1">
        <f>$A13*Sheet4!D14</f>
        <v>56768.426369622561</v>
      </c>
      <c r="F13" s="1">
        <f>$A13*Sheet4!E14</f>
        <v>46761.478358045388</v>
      </c>
      <c r="G13" s="1">
        <f>$A13*Sheet4!F14</f>
        <v>64094.964590128511</v>
      </c>
      <c r="H13" s="1">
        <f>$A13*Sheet4!G14</f>
        <v>23656.567055497166</v>
      </c>
      <c r="I13" s="1">
        <f>$A13*Sheet4!H14</f>
        <v>15197.989161928424</v>
      </c>
      <c r="J13" s="1">
        <f>$A13*Sheet4!I14</f>
        <v>11068.497279548425</v>
      </c>
      <c r="K13" s="1">
        <f t="shared" si="2"/>
        <v>633935.95484673581</v>
      </c>
      <c r="L13" s="1">
        <v>1.013486738364086</v>
      </c>
      <c r="M13" s="1">
        <v>1.0069999999999999</v>
      </c>
      <c r="N13" s="1">
        <f t="shared" si="13"/>
        <v>1.0064416468362325</v>
      </c>
      <c r="P13">
        <f t="shared" si="3"/>
        <v>261257.31054497301</v>
      </c>
      <c r="Q13">
        <f t="shared" si="4"/>
        <v>101040.22283510049</v>
      </c>
      <c r="R13">
        <f t="shared" si="5"/>
        <v>51425.441360577068</v>
      </c>
      <c r="S13">
        <f t="shared" si="6"/>
        <v>56405.084733998374</v>
      </c>
      <c r="T13">
        <f t="shared" si="7"/>
        <v>46462.185368660903</v>
      </c>
      <c r="U13">
        <f t="shared" si="8"/>
        <v>63684.730050283782</v>
      </c>
      <c r="V13">
        <f t="shared" si="9"/>
        <v>23505.155147207999</v>
      </c>
      <c r="W13">
        <f t="shared" si="10"/>
        <v>15100.715684514425</v>
      </c>
      <c r="X13">
        <f t="shared" si="11"/>
        <v>10997.654274683928</v>
      </c>
      <c r="Y13">
        <f t="shared" si="12"/>
        <v>629878.49999999988</v>
      </c>
    </row>
    <row r="14" spans="1:25" s="1" customFormat="1" x14ac:dyDescent="0.3">
      <c r="A14" s="1">
        <v>626000</v>
      </c>
      <c r="B14" s="1">
        <f>$A14*Sheet4!A15</f>
        <v>255359.3240332467</v>
      </c>
      <c r="C14" s="1">
        <f>$A14*Sheet4!B15</f>
        <v>99284.725451038714</v>
      </c>
      <c r="D14" s="1">
        <f>$A14*Sheet4!C15</f>
        <v>51775.009079163137</v>
      </c>
      <c r="E14" s="1">
        <f>$A14*Sheet4!D15</f>
        <v>57565.265474367581</v>
      </c>
      <c r="F14" s="1">
        <f>$A14*Sheet4!E15</f>
        <v>49646.619984387449</v>
      </c>
      <c r="G14" s="1">
        <f>$A14*Sheet4!F15</f>
        <v>68604.421338790358</v>
      </c>
      <c r="H14" s="1">
        <f>$A14*Sheet4!G15</f>
        <v>24391.600793609188</v>
      </c>
      <c r="I14" s="1">
        <f>$A14*Sheet4!H15</f>
        <v>15895.876012720055</v>
      </c>
      <c r="J14" s="1">
        <f>$A14*Sheet4!I15</f>
        <v>11757.381569596346</v>
      </c>
      <c r="K14" s="1">
        <f t="shared" si="2"/>
        <v>634280.22373691946</v>
      </c>
      <c r="L14" s="1">
        <v>1.0132271944679225</v>
      </c>
      <c r="M14" s="1">
        <v>1.0069999999999999</v>
      </c>
      <c r="N14" s="1">
        <f t="shared" si="13"/>
        <v>1.006183907118096</v>
      </c>
      <c r="P14">
        <f t="shared" si="3"/>
        <v>253789.91079736591</v>
      </c>
      <c r="Q14">
        <f t="shared" si="4"/>
        <v>98674.53131446839</v>
      </c>
      <c r="R14">
        <f t="shared" si="5"/>
        <v>51456.804976593899</v>
      </c>
      <c r="S14">
        <f t="shared" si="6"/>
        <v>57211.475026713117</v>
      </c>
      <c r="T14">
        <f t="shared" si="7"/>
        <v>49341.4967514089</v>
      </c>
      <c r="U14">
        <f t="shared" si="8"/>
        <v>68182.785327273421</v>
      </c>
      <c r="V14">
        <f t="shared" si="9"/>
        <v>24241.692419302766</v>
      </c>
      <c r="W14">
        <f t="shared" si="10"/>
        <v>15798.181525531349</v>
      </c>
      <c r="X14">
        <f t="shared" si="11"/>
        <v>11685.121861342173</v>
      </c>
      <c r="Y14">
        <f t="shared" si="12"/>
        <v>630381.99999999988</v>
      </c>
    </row>
    <row r="15" spans="1:25" s="1" customFormat="1" x14ac:dyDescent="0.3">
      <c r="A15" s="1">
        <v>626500</v>
      </c>
      <c r="B15" s="1">
        <f>$A15*Sheet4!A16</f>
        <v>247669.51932079229</v>
      </c>
      <c r="C15" s="1">
        <f>$A15*Sheet4!B16</f>
        <v>96881.626586813334</v>
      </c>
      <c r="D15" s="1">
        <f>$A15*Sheet4!C16</f>
        <v>51792.67150114636</v>
      </c>
      <c r="E15" s="1">
        <f>$A15*Sheet4!D16</f>
        <v>58364.385332112608</v>
      </c>
      <c r="F15" s="1">
        <f>$A15*Sheet4!E16</f>
        <v>52470.880694084335</v>
      </c>
      <c r="G15" s="1">
        <f>$A15*Sheet4!F16</f>
        <v>73087.283705960566</v>
      </c>
      <c r="H15" s="1">
        <f>$A15*Sheet4!G16</f>
        <v>25136.491410791816</v>
      </c>
      <c r="I15" s="1">
        <f>$A15*Sheet4!H16</f>
        <v>16591.133436161686</v>
      </c>
      <c r="J15" s="1">
        <f>$A15*Sheet4!I16</f>
        <v>12450.952988794266</v>
      </c>
      <c r="K15" s="1">
        <f t="shared" si="2"/>
        <v>634444.94497665728</v>
      </c>
      <c r="L15" s="1">
        <v>1.0126814764192453</v>
      </c>
      <c r="M15" s="1">
        <v>1.00065</v>
      </c>
      <c r="N15" s="1">
        <f t="shared" si="13"/>
        <v>1.0120236610395696</v>
      </c>
      <c r="P15">
        <f t="shared" si="3"/>
        <v>244727.00476822993</v>
      </c>
      <c r="Q15">
        <f t="shared" si="4"/>
        <v>95730.594369003898</v>
      </c>
      <c r="R15">
        <f t="shared" si="5"/>
        <v>51177.332601042115</v>
      </c>
      <c r="S15">
        <f t="shared" si="6"/>
        <v>57670.969147262447</v>
      </c>
      <c r="T15">
        <f t="shared" si="7"/>
        <v>51847.484119279645</v>
      </c>
      <c r="U15">
        <f t="shared" si="8"/>
        <v>72218.947559866283</v>
      </c>
      <c r="V15">
        <f t="shared" si="9"/>
        <v>24837.849527125818</v>
      </c>
      <c r="W15">
        <f t="shared" si="10"/>
        <v>16394.017328724276</v>
      </c>
      <c r="X15">
        <f t="shared" si="11"/>
        <v>12303.025579465617</v>
      </c>
      <c r="Y15">
        <f t="shared" si="12"/>
        <v>626907.22500000009</v>
      </c>
    </row>
    <row r="16" spans="1:25" s="1" customFormat="1" x14ac:dyDescent="0.3">
      <c r="A16" s="1">
        <v>626500</v>
      </c>
      <c r="B16" s="1">
        <f>$A16*Sheet4!A17</f>
        <v>239851.27043174312</v>
      </c>
      <c r="C16" s="1">
        <f>$A16*Sheet4!B17</f>
        <v>94366.704054515183</v>
      </c>
      <c r="D16" s="1">
        <f>$A16*Sheet4!C17</f>
        <v>51769.460831480836</v>
      </c>
      <c r="E16" s="1">
        <f>$A16*Sheet4!D17</f>
        <v>59113.869788112606</v>
      </c>
      <c r="F16" s="1">
        <f>$A16*Sheet4!E17</f>
        <v>55222.633312177219</v>
      </c>
      <c r="G16" s="1">
        <f>$A16*Sheet4!F17</f>
        <v>77532.592622999422</v>
      </c>
      <c r="H16" s="1">
        <f>$A16*Sheet4!G17</f>
        <v>25849.813944848735</v>
      </c>
      <c r="I16" s="1">
        <f>$A16*Sheet4!H17</f>
        <v>17275.539327561684</v>
      </c>
      <c r="J16" s="1">
        <f>$A16*Sheet4!I17</f>
        <v>13145.619634544266</v>
      </c>
      <c r="K16" s="1">
        <f t="shared" si="2"/>
        <v>634127.50394798303</v>
      </c>
      <c r="L16" s="1">
        <v>1.0121747868283848</v>
      </c>
      <c r="M16" s="1">
        <v>1.006</v>
      </c>
      <c r="N16" s="1">
        <f t="shared" si="13"/>
        <v>1.0061379590739412</v>
      </c>
      <c r="P16">
        <f t="shared" si="3"/>
        <v>238388.05431066777</v>
      </c>
      <c r="Q16">
        <f t="shared" si="4"/>
        <v>93791.018620717965</v>
      </c>
      <c r="R16">
        <f t="shared" si="5"/>
        <v>51453.64049193605</v>
      </c>
      <c r="S16">
        <f t="shared" si="6"/>
        <v>58753.244776214946</v>
      </c>
      <c r="T16">
        <f t="shared" si="7"/>
        <v>54885.74684430418</v>
      </c>
      <c r="U16">
        <f t="shared" si="8"/>
        <v>77059.603927836244</v>
      </c>
      <c r="V16">
        <f t="shared" si="9"/>
        <v>25692.116783508642</v>
      </c>
      <c r="W16">
        <f t="shared" si="10"/>
        <v>17170.149651706066</v>
      </c>
      <c r="X16">
        <f t="shared" si="11"/>
        <v>13065.424593108104</v>
      </c>
      <c r="Y16">
        <f t="shared" si="12"/>
        <v>630258.99999999988</v>
      </c>
    </row>
    <row r="17" spans="1:25" s="1" customFormat="1" x14ac:dyDescent="0.3">
      <c r="A17" s="1">
        <v>626000</v>
      </c>
      <c r="B17" s="1">
        <f>$A17*Sheet4!A18</f>
        <v>231793.95314187833</v>
      </c>
      <c r="C17" s="1">
        <f>$A17*Sheet4!B18</f>
        <v>91780.898370058116</v>
      </c>
      <c r="D17" s="1">
        <f>$A17*Sheet4!C18</f>
        <v>51664.102210681478</v>
      </c>
      <c r="E17" s="1">
        <f>$A17*Sheet4!D18</f>
        <v>59817.46073036758</v>
      </c>
      <c r="F17" s="1">
        <f>$A17*Sheet4!E18</f>
        <v>57941.749440792075</v>
      </c>
      <c r="G17" s="1">
        <f>$A17*Sheet4!F18</f>
        <v>81908.026718165871</v>
      </c>
      <c r="H17" s="1">
        <f>$A17*Sheet4!G18</f>
        <v>26550.72031938587</v>
      </c>
      <c r="I17" s="1">
        <f>$A17*Sheet4!H18</f>
        <v>17956.463999320058</v>
      </c>
      <c r="J17" s="1">
        <f>$A17*Sheet4!I18</f>
        <v>13819.490673596347</v>
      </c>
      <c r="K17" s="1">
        <f t="shared" si="2"/>
        <v>633232.8656042458</v>
      </c>
      <c r="L17" s="1">
        <v>1.0115540984093383</v>
      </c>
      <c r="M17" s="1">
        <v>1.0055000000000001</v>
      </c>
      <c r="N17" s="1">
        <f t="shared" si="13"/>
        <v>1.0060209830028226</v>
      </c>
      <c r="P17">
        <f t="shared" si="3"/>
        <v>230406.67844721087</v>
      </c>
      <c r="Q17">
        <f t="shared" si="4"/>
        <v>91231.594490311545</v>
      </c>
      <c r="R17">
        <f t="shared" si="5"/>
        <v>51354.895259214012</v>
      </c>
      <c r="S17">
        <f t="shared" si="6"/>
        <v>59459.456354301263</v>
      </c>
      <c r="T17">
        <f t="shared" si="7"/>
        <v>57594.971098758389</v>
      </c>
      <c r="U17">
        <f t="shared" si="8"/>
        <v>81417.811459242759</v>
      </c>
      <c r="V17">
        <f t="shared" si="9"/>
        <v>26391.815645967868</v>
      </c>
      <c r="W17">
        <f t="shared" si="10"/>
        <v>17848.995500792331</v>
      </c>
      <c r="X17">
        <f t="shared" si="11"/>
        <v>13736.781744201029</v>
      </c>
      <c r="Y17">
        <f t="shared" si="12"/>
        <v>629443.00000000012</v>
      </c>
    </row>
    <row r="18" spans="1:25" s="1" customFormat="1" x14ac:dyDescent="0.3">
      <c r="A18" s="1">
        <v>624000</v>
      </c>
      <c r="B18" s="1">
        <f>$A18*Sheet4!A19</f>
        <v>223216.4322261748</v>
      </c>
      <c r="C18" s="1">
        <f>$A18*Sheet4!B19</f>
        <v>89009.551443136123</v>
      </c>
      <c r="D18" s="1">
        <f>$A18*Sheet4!C19</f>
        <v>51432.694835822505</v>
      </c>
      <c r="E18" s="1">
        <f>$A18*Sheet4!D19</f>
        <v>60380.105441787491</v>
      </c>
      <c r="F18" s="1">
        <f>$A18*Sheet4!E19</f>
        <v>60563.404900026828</v>
      </c>
      <c r="G18" s="1">
        <f>$A18*Sheet4!F19</f>
        <v>86012.779330021032</v>
      </c>
      <c r="H18" s="1">
        <f>$A18*Sheet4!G19</f>
        <v>27179.317723021642</v>
      </c>
      <c r="I18" s="1">
        <f>$A18*Sheet4!H19</f>
        <v>18581.329343153539</v>
      </c>
      <c r="J18" s="1">
        <f>$A18*Sheet4!I19</f>
        <v>14460.326335004665</v>
      </c>
      <c r="K18" s="1">
        <f t="shared" si="2"/>
        <v>630835.94157814851</v>
      </c>
      <c r="L18" s="1">
        <v>1.0109550345803664</v>
      </c>
      <c r="M18" s="1">
        <v>1.0049999999999999</v>
      </c>
      <c r="N18" s="1">
        <f t="shared" si="13"/>
        <v>1.0059254075426531</v>
      </c>
      <c r="P18">
        <f t="shared" si="3"/>
        <v>221901.57496017913</v>
      </c>
      <c r="Q18">
        <f t="shared" si="4"/>
        <v>88485.240332655536</v>
      </c>
      <c r="R18">
        <f t="shared" si="5"/>
        <v>51129.730345976634</v>
      </c>
      <c r="S18">
        <f t="shared" si="6"/>
        <v>60024.436194815229</v>
      </c>
      <c r="T18">
        <f t="shared" si="7"/>
        <v>60206.655926879772</v>
      </c>
      <c r="U18">
        <f t="shared" si="8"/>
        <v>85506.120717379265</v>
      </c>
      <c r="V18">
        <f t="shared" si="9"/>
        <v>27019.217845801541</v>
      </c>
      <c r="W18">
        <f t="shared" si="10"/>
        <v>18471.87595007203</v>
      </c>
      <c r="X18">
        <f t="shared" si="11"/>
        <v>14375.147726240844</v>
      </c>
      <c r="Y18">
        <f t="shared" si="12"/>
        <v>627119.99999999988</v>
      </c>
    </row>
    <row r="19" spans="1:25" s="1" customFormat="1" x14ac:dyDescent="0.3">
      <c r="A19" s="1">
        <v>622000</v>
      </c>
      <c r="B19" s="1">
        <f>$A19*Sheet4!A20</f>
        <v>214728.70862907553</v>
      </c>
      <c r="C19" s="1">
        <f>$A19*Sheet4!B20</f>
        <v>86239.254186189966</v>
      </c>
      <c r="D19" s="1">
        <f>$A19*Sheet4!C20</f>
        <v>51202.834195533345</v>
      </c>
      <c r="E19" s="1">
        <f>$A19*Sheet4!D20</f>
        <v>60928.641386007395</v>
      </c>
      <c r="F19" s="1">
        <f>$A19*Sheet4!E20</f>
        <v>63122.563653675468</v>
      </c>
      <c r="G19" s="1">
        <f>$A19*Sheet4!F20</f>
        <v>90100.169227055725</v>
      </c>
      <c r="H19" s="1">
        <f>$A19*Sheet4!G20</f>
        <v>27801.998611389965</v>
      </c>
      <c r="I19" s="1">
        <f>$A19*Sheet4!H20</f>
        <v>19212.707012587023</v>
      </c>
      <c r="J19" s="1">
        <f>$A19*Sheet4!I20</f>
        <v>15104.620878212983</v>
      </c>
      <c r="K19" s="1">
        <f t="shared" si="2"/>
        <v>628441.49777972745</v>
      </c>
      <c r="L19" s="1">
        <v>1.0103561057551889</v>
      </c>
      <c r="M19" s="1">
        <v>1.0049999999999999</v>
      </c>
      <c r="N19" s="1">
        <f t="shared" si="13"/>
        <v>1.0053294584628747</v>
      </c>
      <c r="P19">
        <f t="shared" si="3"/>
        <v>213590.38753066157</v>
      </c>
      <c r="Q19">
        <f t="shared" si="4"/>
        <v>85782.082142552332</v>
      </c>
      <c r="R19">
        <f t="shared" si="5"/>
        <v>50931.397428482087</v>
      </c>
      <c r="S19">
        <f t="shared" si="6"/>
        <v>60605.64611243549</v>
      </c>
      <c r="T19">
        <f t="shared" si="7"/>
        <v>62787.937946420469</v>
      </c>
      <c r="U19">
        <f t="shared" si="8"/>
        <v>89622.529677800136</v>
      </c>
      <c r="V19">
        <f t="shared" si="9"/>
        <v>27654.614492147255</v>
      </c>
      <c r="W19">
        <f t="shared" si="10"/>
        <v>19110.856496697914</v>
      </c>
      <c r="X19">
        <f t="shared" si="11"/>
        <v>15024.548172802572</v>
      </c>
      <c r="Y19">
        <f t="shared" si="12"/>
        <v>625109.99999999988</v>
      </c>
    </row>
    <row r="20" spans="1:25" s="1" customFormat="1" x14ac:dyDescent="0.3">
      <c r="A20" s="1">
        <v>621000</v>
      </c>
      <c r="B20" s="1">
        <f>$A20*Sheet4!A21</f>
        <v>206550.86404158958</v>
      </c>
      <c r="C20" s="1">
        <f>$A20*Sheet4!B21</f>
        <v>83638.440690666219</v>
      </c>
      <c r="D20" s="1">
        <f>$A20*Sheet4!C21</f>
        <v>51054.727365101382</v>
      </c>
      <c r="E20" s="1">
        <f>$A20*Sheet4!D21</f>
        <v>61577.552383317357</v>
      </c>
      <c r="F20" s="1">
        <f>$A20*Sheet4!E21</f>
        <v>65782.345347947004</v>
      </c>
      <c r="G20" s="1">
        <f>$A20*Sheet4!F21</f>
        <v>94305.849090050222</v>
      </c>
      <c r="H20" s="1">
        <f>$A20*Sheet4!G21</f>
        <v>28466.800043542509</v>
      </c>
      <c r="I20" s="1">
        <f>$A20*Sheet4!H21</f>
        <v>19867.460914303763</v>
      </c>
      <c r="J20" s="1">
        <f>$A20*Sheet4!I21</f>
        <v>15757.480972917143</v>
      </c>
      <c r="K20" s="1">
        <f t="shared" si="2"/>
        <v>627001.52084943524</v>
      </c>
      <c r="L20" s="1">
        <v>1.009664284781699</v>
      </c>
      <c r="M20" s="1">
        <v>1.0044999999999999</v>
      </c>
      <c r="N20" s="1">
        <f t="shared" si="13"/>
        <v>1.005141149608461</v>
      </c>
      <c r="P20">
        <f t="shared" si="3"/>
        <v>205494.38665609166</v>
      </c>
      <c r="Q20">
        <f t="shared" si="4"/>
        <v>83210.642329434457</v>
      </c>
      <c r="R20">
        <f t="shared" si="5"/>
        <v>50793.589920170969</v>
      </c>
      <c r="S20">
        <f t="shared" si="6"/>
        <v>61262.592231254341</v>
      </c>
      <c r="T20">
        <f t="shared" si="7"/>
        <v>65445.878296368246</v>
      </c>
      <c r="U20">
        <f t="shared" si="8"/>
        <v>93823.48849888971</v>
      </c>
      <c r="V20">
        <f t="shared" si="9"/>
        <v>28321.196535065112</v>
      </c>
      <c r="W20">
        <f t="shared" si="10"/>
        <v>19765.841764654506</v>
      </c>
      <c r="X20">
        <f t="shared" si="11"/>
        <v>15676.883768071035</v>
      </c>
      <c r="Y20">
        <f t="shared" si="12"/>
        <v>623794.50000000012</v>
      </c>
    </row>
    <row r="21" spans="1:25" s="1" customFormat="1" x14ac:dyDescent="0.3">
      <c r="A21" s="1">
        <v>620000</v>
      </c>
      <c r="B21" s="1">
        <f>$A21*Sheet4!A22</f>
        <v>198408.41432018831</v>
      </c>
      <c r="C21" s="1">
        <f>$A21*Sheet4!B22</f>
        <v>81050.854729867133</v>
      </c>
      <c r="D21" s="1">
        <f>$A21*Sheet4!C22</f>
        <v>50906.631500253432</v>
      </c>
      <c r="E21" s="1">
        <f>$A21*Sheet4!D22</f>
        <v>62228.696107827309</v>
      </c>
      <c r="F21" s="1">
        <f>$A21*Sheet4!E22</f>
        <v>68420.283836647868</v>
      </c>
      <c r="G21" s="1">
        <f>$A21*Sheet4!F22</f>
        <v>98528.601768652807</v>
      </c>
      <c r="H21" s="1">
        <f>$A21*Sheet4!G22</f>
        <v>29128.908508651624</v>
      </c>
      <c r="I21" s="1">
        <f>$A21*Sheet4!H22</f>
        <v>20510.871237620504</v>
      </c>
      <c r="J21" s="1">
        <f>$A21*Sheet4!I22</f>
        <v>16417.8657914213</v>
      </c>
      <c r="K21" s="1">
        <f t="shared" si="2"/>
        <v>625601.12780113029</v>
      </c>
      <c r="L21" s="1">
        <v>1.0090340770985973</v>
      </c>
      <c r="M21" s="1">
        <v>1.0044999999999999</v>
      </c>
      <c r="N21" s="1">
        <f t="shared" si="13"/>
        <v>1.0045137651553981</v>
      </c>
      <c r="P21">
        <f t="shared" si="3"/>
        <v>197516.86955677959</v>
      </c>
      <c r="Q21">
        <f t="shared" si="4"/>
        <v>80686.654121985659</v>
      </c>
      <c r="R21">
        <f t="shared" si="5"/>
        <v>50677.883435851356</v>
      </c>
      <c r="S21">
        <f t="shared" si="6"/>
        <v>61949.072542774498</v>
      </c>
      <c r="T21">
        <f t="shared" si="7"/>
        <v>68112.838479683007</v>
      </c>
      <c r="U21">
        <f t="shared" si="8"/>
        <v>98085.865208039671</v>
      </c>
      <c r="V21">
        <f t="shared" si="9"/>
        <v>28998.018264234921</v>
      </c>
      <c r="W21">
        <f t="shared" si="10"/>
        <v>20418.705993986528</v>
      </c>
      <c r="X21">
        <f t="shared" si="11"/>
        <v>16344.092396664628</v>
      </c>
      <c r="Y21">
        <f t="shared" si="12"/>
        <v>622789.99999999988</v>
      </c>
    </row>
    <row r="22" spans="1:25" s="1" customFormat="1" x14ac:dyDescent="0.3">
      <c r="A22" s="1">
        <v>617600</v>
      </c>
      <c r="B22" s="1">
        <f>$A22*Sheet4!A23</f>
        <v>189879.57051457229</v>
      </c>
      <c r="C22" s="1">
        <f>$A22*Sheet4!B23</f>
        <v>78288.841135744951</v>
      </c>
      <c r="D22" s="1">
        <f>$A22*Sheet4!C23</f>
        <v>50644.909790766978</v>
      </c>
      <c r="E22" s="1">
        <f>$A22*Sheet4!D23</f>
        <v>62726.585187771205</v>
      </c>
      <c r="F22" s="1">
        <f>$A22*Sheet4!E23</f>
        <v>70866.17131115419</v>
      </c>
      <c r="G22" s="1">
        <f>$A22*Sheet4!F23</f>
        <v>102538.79288372051</v>
      </c>
      <c r="H22" s="1">
        <f>$A22*Sheet4!G23</f>
        <v>29731.150660018571</v>
      </c>
      <c r="I22" s="1">
        <f>$A22*Sheet4!H23</f>
        <v>21113.49944598068</v>
      </c>
      <c r="J22" s="1">
        <f>$A22*Sheet4!I23</f>
        <v>17032.259693751283</v>
      </c>
      <c r="K22" s="1">
        <f t="shared" si="2"/>
        <v>622821.78062348056</v>
      </c>
      <c r="L22" s="1">
        <v>1.0084549556727342</v>
      </c>
      <c r="M22" s="1">
        <v>1.004</v>
      </c>
      <c r="N22" s="1">
        <f t="shared" si="13"/>
        <v>1.0044372068453529</v>
      </c>
      <c r="P22">
        <f t="shared" si="3"/>
        <v>189040.75757102744</v>
      </c>
      <c r="Q22">
        <f t="shared" si="4"/>
        <v>77942.991958280385</v>
      </c>
      <c r="R22">
        <f t="shared" si="5"/>
        <v>50421.180583132729</v>
      </c>
      <c r="S22">
        <f t="shared" si="6"/>
        <v>62449.483910275776</v>
      </c>
      <c r="T22">
        <f t="shared" si="7"/>
        <v>70553.112557154629</v>
      </c>
      <c r="U22">
        <f t="shared" si="8"/>
        <v>102085.81699772476</v>
      </c>
      <c r="V22">
        <f t="shared" si="9"/>
        <v>29599.810179668202</v>
      </c>
      <c r="W22">
        <f t="shared" si="10"/>
        <v>21020.228344877909</v>
      </c>
      <c r="X22">
        <f t="shared" si="11"/>
        <v>16957.017897858135</v>
      </c>
      <c r="Y22">
        <f t="shared" si="12"/>
        <v>620070.39999999991</v>
      </c>
    </row>
    <row r="23" spans="1:25" s="1" customFormat="1" x14ac:dyDescent="0.3">
      <c r="A23" s="1">
        <v>615200</v>
      </c>
      <c r="B23" s="1">
        <f>$A23*Sheet4!A24</f>
        <v>181472.38739110107</v>
      </c>
      <c r="C23" s="1">
        <f>$A23*Sheet4!B24</f>
        <v>75514.68261673901</v>
      </c>
      <c r="D23" s="1">
        <f>$A23*Sheet4!C24</f>
        <v>50381.612172890505</v>
      </c>
      <c r="E23" s="1">
        <f>$A23*Sheet4!D24</f>
        <v>63218.918534595097</v>
      </c>
      <c r="F23" s="1">
        <f>$A23*Sheet4!E24</f>
        <v>73339.656749569316</v>
      </c>
      <c r="G23" s="1">
        <f>$A23*Sheet4!F24</f>
        <v>106493.58732244845</v>
      </c>
      <c r="H23" s="1">
        <f>$A23*Sheet4!G24</f>
        <v>30318.746090703487</v>
      </c>
      <c r="I23" s="1">
        <f>$A23*Sheet4!H24</f>
        <v>21701.414442420861</v>
      </c>
      <c r="J23" s="1">
        <f>$A23*Sheet4!I24</f>
        <v>17633.877046801266</v>
      </c>
      <c r="K23" s="1">
        <f t="shared" si="2"/>
        <v>620074.88236726914</v>
      </c>
      <c r="L23" s="1">
        <v>1.0079240610651319</v>
      </c>
      <c r="M23" s="1">
        <v>1.004</v>
      </c>
      <c r="N23" s="1">
        <f t="shared" si="13"/>
        <v>1.0039084273557091</v>
      </c>
      <c r="P23">
        <f t="shared" si="3"/>
        <v>180765.87709209559</v>
      </c>
      <c r="Q23">
        <f t="shared" si="4"/>
        <v>75220.688021958733</v>
      </c>
      <c r="R23">
        <f t="shared" si="5"/>
        <v>50185.46592501019</v>
      </c>
      <c r="S23">
        <f t="shared" si="6"/>
        <v>62972.793944078629</v>
      </c>
      <c r="T23">
        <f t="shared" si="7"/>
        <v>73054.129989470937</v>
      </c>
      <c r="U23">
        <f t="shared" si="8"/>
        <v>106078.98531437987</v>
      </c>
      <c r="V23">
        <f t="shared" si="9"/>
        <v>30200.708814212216</v>
      </c>
      <c r="W23">
        <f t="shared" si="10"/>
        <v>21616.926256493636</v>
      </c>
      <c r="X23">
        <f t="shared" si="11"/>
        <v>17565.224642300127</v>
      </c>
      <c r="Y23">
        <f t="shared" si="12"/>
        <v>617660.80000000005</v>
      </c>
    </row>
    <row r="24" spans="1:25" s="1" customFormat="1" x14ac:dyDescent="0.3">
      <c r="A24" s="1">
        <v>612799.99999999988</v>
      </c>
      <c r="B24" s="1">
        <f>$A24*Sheet4!A25</f>
        <v>173029.47060255881</v>
      </c>
      <c r="C24" s="1">
        <f>$A24*Sheet4!B25</f>
        <v>72790.318584640379</v>
      </c>
      <c r="D24" s="1">
        <f>$A24*Sheet4!C25</f>
        <v>50121.062595156298</v>
      </c>
      <c r="E24" s="1">
        <f>$A24*Sheet4!D25</f>
        <v>63714.277828298982</v>
      </c>
      <c r="F24" s="1">
        <f>$A24*Sheet4!E25</f>
        <v>75825.46437603698</v>
      </c>
      <c r="G24" s="1">
        <f>$A24*Sheet4!F25</f>
        <v>110405.23805667316</v>
      </c>
      <c r="H24" s="1">
        <f>$A24*Sheet4!G25</f>
        <v>30909.597103744272</v>
      </c>
      <c r="I24" s="1">
        <f>$A24*Sheet4!H25</f>
        <v>22285.818372621034</v>
      </c>
      <c r="J24" s="1">
        <f>$A24*Sheet4!I25</f>
        <v>18232.327095051245</v>
      </c>
      <c r="K24" s="1">
        <f t="shared" si="2"/>
        <v>617313.5746147813</v>
      </c>
      <c r="L24" s="1">
        <v>1.0073654938230765</v>
      </c>
      <c r="M24" s="1">
        <v>1.0035000000000001</v>
      </c>
      <c r="N24" s="1">
        <f t="shared" si="13"/>
        <v>1.0038520117818399</v>
      </c>
      <c r="P24">
        <f t="shared" si="3"/>
        <v>172365.51660182566</v>
      </c>
      <c r="Q24">
        <f t="shared" si="4"/>
        <v>72511.005337766241</v>
      </c>
      <c r="R24">
        <f t="shared" si="5"/>
        <v>49928.736513852557</v>
      </c>
      <c r="S24">
        <f t="shared" si="6"/>
        <v>63469.791443866285</v>
      </c>
      <c r="T24">
        <f t="shared" si="7"/>
        <v>75534.504574480641</v>
      </c>
      <c r="U24">
        <f t="shared" si="8"/>
        <v>109981.5876851246</v>
      </c>
      <c r="V24">
        <f t="shared" si="9"/>
        <v>30790.989848074973</v>
      </c>
      <c r="W24">
        <f t="shared" si="10"/>
        <v>22200.302545654762</v>
      </c>
      <c r="X24">
        <f t="shared" si="11"/>
        <v>18162.365449354249</v>
      </c>
      <c r="Y24">
        <f t="shared" si="12"/>
        <v>614944.80000000016</v>
      </c>
    </row>
    <row r="25" spans="1:25" s="1" customFormat="1" x14ac:dyDescent="0.3">
      <c r="A25" s="1">
        <v>610399.99999999988</v>
      </c>
      <c r="B25" s="1">
        <f>$A25*Sheet4!A26</f>
        <v>164684.16622354422</v>
      </c>
      <c r="C25" s="1">
        <f>$A25*Sheet4!B26</f>
        <v>70076.795254721525</v>
      </c>
      <c r="D25" s="1">
        <f>$A25*Sheet4!C26</f>
        <v>49859.298309160251</v>
      </c>
      <c r="E25" s="1">
        <f>$A25*Sheet4!D26</f>
        <v>64202.980663442868</v>
      </c>
      <c r="F25" s="1">
        <f>$A25*Sheet4!E26</f>
        <v>78262.432779930154</v>
      </c>
      <c r="G25" s="1">
        <f>$A25*Sheet4!F26</f>
        <v>114319.92943819067</v>
      </c>
      <c r="H25" s="1">
        <f>$A25*Sheet4!G26</f>
        <v>31492.070012870747</v>
      </c>
      <c r="I25" s="1">
        <f>$A25*Sheet4!H26</f>
        <v>22869.129742341214</v>
      </c>
      <c r="J25" s="1">
        <f>$A25*Sheet4!I26</f>
        <v>18828.604407461225</v>
      </c>
      <c r="K25" s="1">
        <f t="shared" si="2"/>
        <v>614595.40683166287</v>
      </c>
      <c r="L25" s="1">
        <v>1.0068732090951229</v>
      </c>
      <c r="M25" s="1">
        <v>1.0035000000000001</v>
      </c>
      <c r="N25" s="1">
        <f t="shared" si="13"/>
        <v>1.0033614440409795</v>
      </c>
      <c r="P25">
        <f t="shared" si="3"/>
        <v>164132.44419706659</v>
      </c>
      <c r="Q25">
        <f t="shared" si="4"/>
        <v>69842.025195318784</v>
      </c>
      <c r="R25">
        <f t="shared" si="5"/>
        <v>49692.260556031382</v>
      </c>
      <c r="S25">
        <f t="shared" si="6"/>
        <v>63987.888955418821</v>
      </c>
      <c r="T25">
        <f t="shared" si="7"/>
        <v>78000.239340205051</v>
      </c>
      <c r="U25">
        <f t="shared" si="8"/>
        <v>113936.9368009337</v>
      </c>
      <c r="V25">
        <f t="shared" si="9"/>
        <v>31386.565828200732</v>
      </c>
      <c r="W25">
        <f t="shared" si="10"/>
        <v>22792.513982037352</v>
      </c>
      <c r="X25">
        <f t="shared" si="11"/>
        <v>18765.525144787429</v>
      </c>
      <c r="Y25">
        <f t="shared" si="12"/>
        <v>612536.39999999979</v>
      </c>
    </row>
    <row r="26" spans="1:25" s="1" customFormat="1" x14ac:dyDescent="0.3">
      <c r="A26" s="1">
        <v>608000</v>
      </c>
      <c r="B26" s="1">
        <f>$A26*Sheet4!A27</f>
        <v>156434.79575612932</v>
      </c>
      <c r="C26" s="1">
        <f>$A26*Sheet4!B27</f>
        <v>67358.727592532741</v>
      </c>
      <c r="D26" s="1">
        <f>$A26*Sheet4!C27</f>
        <v>49600.623493452615</v>
      </c>
      <c r="E26" s="1">
        <f>$A26*Sheet4!D27</f>
        <v>64686.278051546782</v>
      </c>
      <c r="F26" s="1">
        <f>$A26*Sheet4!E27</f>
        <v>80706.273781680764</v>
      </c>
      <c r="G26" s="1">
        <f>$A26*Sheet4!F27</f>
        <v>118186.9145562793</v>
      </c>
      <c r="H26" s="1">
        <f>$A26*Sheet4!G27</f>
        <v>32067.688846587374</v>
      </c>
      <c r="I26" s="1">
        <f>$A26*Sheet4!H27</f>
        <v>23443.522815421398</v>
      </c>
      <c r="J26" s="1">
        <f>$A26*Sheet4!I27</f>
        <v>19421.066506271211</v>
      </c>
      <c r="K26" s="1">
        <f t="shared" si="2"/>
        <v>611905.89139990159</v>
      </c>
      <c r="L26" s="1">
        <v>1.0064241634866802</v>
      </c>
      <c r="M26" s="1">
        <v>1.0029999999999999</v>
      </c>
      <c r="N26" s="1">
        <f t="shared" si="13"/>
        <v>1.0034139217215157</v>
      </c>
      <c r="P26">
        <f t="shared" si="3"/>
        <v>155902.55663160485</v>
      </c>
      <c r="Q26">
        <f t="shared" si="4"/>
        <v>67129.552554909911</v>
      </c>
      <c r="R26">
        <f t="shared" si="5"/>
        <v>49431.866969071831</v>
      </c>
      <c r="S26">
        <f t="shared" si="6"/>
        <v>64466.195506403994</v>
      </c>
      <c r="T26">
        <f t="shared" si="7"/>
        <v>80431.686300720598</v>
      </c>
      <c r="U26">
        <f t="shared" si="8"/>
        <v>117784.80644708508</v>
      </c>
      <c r="V26">
        <f t="shared" si="9"/>
        <v>31958.584739954746</v>
      </c>
      <c r="W26">
        <f t="shared" si="10"/>
        <v>23363.760765049301</v>
      </c>
      <c r="X26">
        <f t="shared" si="11"/>
        <v>19354.990085199628</v>
      </c>
      <c r="Y26">
        <f t="shared" si="12"/>
        <v>609824</v>
      </c>
    </row>
    <row r="27" spans="1:25" s="1" customFormat="1" x14ac:dyDescent="0.3">
      <c r="A27" s="1">
        <v>604400</v>
      </c>
      <c r="B27" s="1">
        <f>$A27*Sheet4!A28</f>
        <v>147968.73774155171</v>
      </c>
      <c r="C27" s="1">
        <f>$A27*Sheet4!B28</f>
        <v>64566.890769253972</v>
      </c>
      <c r="D27" s="1">
        <f>$A27*Sheet4!C28</f>
        <v>49242.815907069307</v>
      </c>
      <c r="E27" s="1">
        <f>$A27*Sheet4!D28</f>
        <v>65028.586359782617</v>
      </c>
      <c r="F27" s="1">
        <f>$A27*Sheet4!E28</f>
        <v>82895.984300327415</v>
      </c>
      <c r="G27" s="1">
        <f>$A27*Sheet4!F28</f>
        <v>121716.45484458806</v>
      </c>
      <c r="H27" s="1">
        <f>$A27*Sheet4!G28</f>
        <v>32578.442498562355</v>
      </c>
      <c r="I27" s="1">
        <f>$A27*Sheet4!H28</f>
        <v>23969.640241841666</v>
      </c>
      <c r="J27" s="1">
        <f>$A27*Sheet4!I28</f>
        <v>19967.067914766183</v>
      </c>
      <c r="K27" s="1">
        <f t="shared" si="2"/>
        <v>607934.62057774328</v>
      </c>
      <c r="L27" s="1">
        <v>1.0058481478784633</v>
      </c>
      <c r="M27" s="1">
        <v>1.0024999999999999</v>
      </c>
      <c r="N27" s="1">
        <f t="shared" si="13"/>
        <v>1.0033397983825072</v>
      </c>
      <c r="P27">
        <f t="shared" si="3"/>
        <v>147476.19697742819</v>
      </c>
      <c r="Q27">
        <f t="shared" si="4"/>
        <v>64351.968170048487</v>
      </c>
      <c r="R27">
        <f t="shared" si="5"/>
        <v>49078.902268657221</v>
      </c>
      <c r="S27">
        <f t="shared" si="6"/>
        <v>64812.126923117939</v>
      </c>
      <c r="T27">
        <f t="shared" si="7"/>
        <v>82620.049991004795</v>
      </c>
      <c r="U27">
        <f t="shared" si="8"/>
        <v>121311.29956252928</v>
      </c>
      <c r="V27">
        <f t="shared" si="9"/>
        <v>32469.999247595228</v>
      </c>
      <c r="W27">
        <f t="shared" si="10"/>
        <v>23889.852949602249</v>
      </c>
      <c r="X27">
        <f t="shared" si="11"/>
        <v>19900.603910016594</v>
      </c>
      <c r="Y27">
        <f t="shared" si="12"/>
        <v>605911</v>
      </c>
    </row>
    <row r="28" spans="1:25" x14ac:dyDescent="0.3">
      <c r="A28">
        <v>600800</v>
      </c>
      <c r="B28">
        <f>$A28*Sheet4!A29</f>
        <v>139500.40892473821</v>
      </c>
      <c r="C28">
        <f>$A28*Sheet4!B29</f>
        <v>61779.943554028396</v>
      </c>
      <c r="D28">
        <f>$A28*Sheet4!C29</f>
        <v>48884.746897641453</v>
      </c>
      <c r="E28">
        <f>$A28*Sheet4!D29</f>
        <v>65362.404882098461</v>
      </c>
      <c r="F28">
        <f>$A28*Sheet4!E29</f>
        <v>85134.552242437392</v>
      </c>
      <c r="G28">
        <f>$A28*Sheet4!F29</f>
        <v>125217.71450855059</v>
      </c>
      <c r="H28">
        <f>$A28*Sheet4!G29</f>
        <v>33070.69193163835</v>
      </c>
      <c r="I28">
        <f>$A28*Sheet4!H29</f>
        <v>24486.276946021935</v>
      </c>
      <c r="J28">
        <f>$A28*Sheet4!I29</f>
        <v>20502.533107901156</v>
      </c>
      <c r="K28">
        <f t="shared" si="2"/>
        <v>603939.272995056</v>
      </c>
      <c r="L28">
        <v>1.0052251547853794</v>
      </c>
      <c r="M28" s="1">
        <v>1.002</v>
      </c>
      <c r="N28" s="1">
        <f t="shared" si="13"/>
        <v>1.0032187173506781</v>
      </c>
      <c r="P28">
        <f t="shared" si="3"/>
        <v>139052.83714515806</v>
      </c>
      <c r="Q28">
        <f t="shared" si="4"/>
        <v>61581.729373210081</v>
      </c>
      <c r="R28">
        <f t="shared" si="5"/>
        <v>48727.905542609253</v>
      </c>
      <c r="S28">
        <f t="shared" si="6"/>
        <v>65152.696766572422</v>
      </c>
      <c r="T28">
        <f t="shared" si="7"/>
        <v>84861.407358170676</v>
      </c>
      <c r="U28">
        <f t="shared" si="8"/>
        <v>124815.96718931667</v>
      </c>
      <c r="V28">
        <f t="shared" si="9"/>
        <v>32964.588239513869</v>
      </c>
      <c r="W28">
        <f t="shared" si="10"/>
        <v>24407.71540894475</v>
      </c>
      <c r="X28">
        <f t="shared" si="11"/>
        <v>20436.752976504158</v>
      </c>
      <c r="Y28">
        <f t="shared" si="12"/>
        <v>602001.6</v>
      </c>
    </row>
    <row r="29" spans="1:25" x14ac:dyDescent="0.3">
      <c r="A29">
        <v>597200</v>
      </c>
      <c r="B29">
        <f>$A29*Sheet4!A30</f>
        <v>131136.8983185096</v>
      </c>
      <c r="C29">
        <f>$A29*Sheet4!B30</f>
        <v>59016.414106322016</v>
      </c>
      <c r="D29">
        <f>$A29*Sheet4!C30</f>
        <v>48527.294953864388</v>
      </c>
      <c r="E29">
        <f>$A29*Sheet4!D30</f>
        <v>65693.532827294301</v>
      </c>
      <c r="F29">
        <f>$A29*Sheet4!E30</f>
        <v>87293.399383919459</v>
      </c>
      <c r="G29">
        <f>$A29*Sheet4!F30</f>
        <v>128673.88127517453</v>
      </c>
      <c r="H29">
        <f>$A29*Sheet4!G30</f>
        <v>33555.190567893871</v>
      </c>
      <c r="I29">
        <f>$A29*Sheet4!H30</f>
        <v>25001.788739602205</v>
      </c>
      <c r="J29">
        <f>$A29*Sheet4!I30</f>
        <v>21039.203114316129</v>
      </c>
      <c r="K29">
        <f t="shared" si="2"/>
        <v>599937.60328689648</v>
      </c>
      <c r="L29">
        <v>1.0045840644455737</v>
      </c>
      <c r="M29" s="1">
        <v>1.0015000000000001</v>
      </c>
      <c r="N29" s="1">
        <f t="shared" si="13"/>
        <v>1.0030794452776572</v>
      </c>
      <c r="P29">
        <f t="shared" si="3"/>
        <v>130734.30916751591</v>
      </c>
      <c r="Q29">
        <f t="shared" si="4"/>
        <v>58835.234222136802</v>
      </c>
      <c r="R29">
        <f t="shared" si="5"/>
        <v>48378.31657534543</v>
      </c>
      <c r="S29">
        <f t="shared" si="6"/>
        <v>65491.854246011404</v>
      </c>
      <c r="T29">
        <f t="shared" si="7"/>
        <v>87025.409397912867</v>
      </c>
      <c r="U29">
        <f t="shared" si="8"/>
        <v>128278.85356533946</v>
      </c>
      <c r="V29">
        <f t="shared" si="9"/>
        <v>33452.17642118629</v>
      </c>
      <c r="W29">
        <f t="shared" si="10"/>
        <v>24925.033463009095</v>
      </c>
      <c r="X29">
        <f t="shared" si="11"/>
        <v>20974.612941542608</v>
      </c>
      <c r="Y29">
        <f t="shared" si="12"/>
        <v>598095.79999999981</v>
      </c>
    </row>
    <row r="30" spans="1:25" x14ac:dyDescent="0.3">
      <c r="A30">
        <v>593600</v>
      </c>
      <c r="B30">
        <f>$A30*Sheet4!A31</f>
        <v>122932.29490187137</v>
      </c>
      <c r="C30">
        <f>$A30*Sheet4!B31</f>
        <v>56306.110958305668</v>
      </c>
      <c r="D30">
        <f>$A30*Sheet4!C31</f>
        <v>48174.057986806816</v>
      </c>
      <c r="E30">
        <f>$A30*Sheet4!D31</f>
        <v>66009.681178250146</v>
      </c>
      <c r="F30">
        <f>$A30*Sheet4!E31</f>
        <v>89382.872231106128</v>
      </c>
      <c r="G30">
        <f>$A30*Sheet4!F31</f>
        <v>132050.64882198052</v>
      </c>
      <c r="H30">
        <f>$A30*Sheet4!G31</f>
        <v>34041.131011972058</v>
      </c>
      <c r="I30">
        <f>$A30*Sheet4!H31</f>
        <v>25502.013763662471</v>
      </c>
      <c r="J30">
        <f>$A30*Sheet4!I31</f>
        <v>21569.069661211102</v>
      </c>
      <c r="K30">
        <f t="shared" si="2"/>
        <v>595967.88051516621</v>
      </c>
      <c r="L30">
        <v>1.0039890170403745</v>
      </c>
      <c r="M30" s="1">
        <v>1.0009999999999999</v>
      </c>
      <c r="N30" s="1">
        <f t="shared" si="13"/>
        <v>1.0029860310093652</v>
      </c>
      <c r="P30">
        <f t="shared" si="3"/>
        <v>122566.30810516592</v>
      </c>
      <c r="Q30">
        <f t="shared" si="4"/>
        <v>56138.47971705193</v>
      </c>
      <c r="R30">
        <f t="shared" si="5"/>
        <v>48030.637015279623</v>
      </c>
      <c r="S30">
        <f t="shared" si="6"/>
        <v>65813.161038564649</v>
      </c>
      <c r="T30">
        <f t="shared" si="7"/>
        <v>89116.766801981037</v>
      </c>
      <c r="U30">
        <f t="shared" si="8"/>
        <v>131657.51539838497</v>
      </c>
      <c r="V30">
        <f t="shared" si="9"/>
        <v>33939.785759243743</v>
      </c>
      <c r="W30">
        <f t="shared" si="10"/>
        <v>25426.090668479461</v>
      </c>
      <c r="X30">
        <f t="shared" si="11"/>
        <v>21504.85549584858</v>
      </c>
      <c r="Y30">
        <f t="shared" si="12"/>
        <v>594193.59999999986</v>
      </c>
    </row>
    <row r="31" spans="1:25" x14ac:dyDescent="0.3">
      <c r="A31">
        <v>590000</v>
      </c>
      <c r="B31">
        <f>$A31*Sheet4!A32</f>
        <v>114835.76140527037</v>
      </c>
      <c r="C31">
        <f>$A31*Sheet4!B32</f>
        <v>53599.590150276868</v>
      </c>
      <c r="D31">
        <f>$A31*Sheet4!C32</f>
        <v>47819.680597790168</v>
      </c>
      <c r="E31">
        <f>$A31*Sheet4!D32</f>
        <v>66318.413507125995</v>
      </c>
      <c r="F31">
        <f>$A31*Sheet4!E32</f>
        <v>91521.901832648218</v>
      </c>
      <c r="G31">
        <f>$A31*Sheet4!F32</f>
        <v>135405.63160223301</v>
      </c>
      <c r="H31">
        <f>$A31*Sheet4!G32</f>
        <v>34507.983433678484</v>
      </c>
      <c r="I31">
        <f>$A31*Sheet4!H32</f>
        <v>25993.587864122739</v>
      </c>
      <c r="J31">
        <f>$A31*Sheet4!I32</f>
        <v>22082.683840546073</v>
      </c>
      <c r="K31">
        <f t="shared" si="2"/>
        <v>592085.23423369194</v>
      </c>
      <c r="L31">
        <v>1.0035342953113422</v>
      </c>
      <c r="M31" s="1">
        <v>1.0009999999999999</v>
      </c>
      <c r="N31" s="1">
        <f t="shared" si="13"/>
        <v>1.0025317635477946</v>
      </c>
      <c r="P31">
        <f t="shared" si="3"/>
        <v>114545.75862901894</v>
      </c>
      <c r="Q31">
        <f t="shared" si="4"/>
        <v>53464.231358213285</v>
      </c>
      <c r="R31">
        <f t="shared" si="5"/>
        <v>47698.918215383223</v>
      </c>
      <c r="S31">
        <f t="shared" si="6"/>
        <v>66150.934981287835</v>
      </c>
      <c r="T31">
        <f t="shared" si="7"/>
        <v>91290.775175808201</v>
      </c>
      <c r="U31">
        <f t="shared" si="8"/>
        <v>135063.68229476819</v>
      </c>
      <c r="V31">
        <f t="shared" si="9"/>
        <v>34420.838010718406</v>
      </c>
      <c r="W31">
        <f t="shared" si="10"/>
        <v>25927.944439521514</v>
      </c>
      <c r="X31">
        <f t="shared" si="11"/>
        <v>22026.916895280301</v>
      </c>
      <c r="Y31">
        <f t="shared" si="12"/>
        <v>590589.99999999988</v>
      </c>
    </row>
    <row r="32" spans="1:25" x14ac:dyDescent="0.3">
      <c r="A32">
        <v>587600</v>
      </c>
      <c r="B32">
        <f>$A32*Sheet4!A33</f>
        <v>107064.32729229954</v>
      </c>
      <c r="C32">
        <f>$A32*Sheet4!B33</f>
        <v>51051.415193107103</v>
      </c>
      <c r="D32">
        <f>$A32*Sheet4!C33</f>
        <v>47562.501479401253</v>
      </c>
      <c r="E32">
        <f>$A32*Sheet4!D33</f>
        <v>66752.481781309878</v>
      </c>
      <c r="F32">
        <f>$A32*Sheet4!E33</f>
        <v>93724.757910357032</v>
      </c>
      <c r="G32">
        <f>$A32*Sheet4!F33</f>
        <v>138985.2506764608</v>
      </c>
      <c r="H32">
        <f>$A32*Sheet4!G33</f>
        <v>35039.359704755334</v>
      </c>
      <c r="I32">
        <f>$A32*Sheet4!H33</f>
        <v>26529.072027162918</v>
      </c>
      <c r="J32">
        <f>$A32*Sheet4!I33</f>
        <v>22641.959772276059</v>
      </c>
      <c r="K32">
        <f t="shared" si="2"/>
        <v>589351.12583712989</v>
      </c>
      <c r="L32">
        <v>1.0029801324661842</v>
      </c>
      <c r="M32" s="1">
        <v>1.0008999999999999</v>
      </c>
      <c r="N32" s="1">
        <f t="shared" si="13"/>
        <v>1.002078262030357</v>
      </c>
      <c r="P32">
        <f t="shared" si="3"/>
        <v>106842.28103638488</v>
      </c>
      <c r="Q32">
        <f t="shared" si="4"/>
        <v>50945.537017906638</v>
      </c>
      <c r="R32">
        <f t="shared" si="5"/>
        <v>47463.859143129877</v>
      </c>
      <c r="S32">
        <f t="shared" si="6"/>
        <v>66614.040350560637</v>
      </c>
      <c r="T32">
        <f t="shared" si="7"/>
        <v>93530.377278574</v>
      </c>
      <c r="U32">
        <f t="shared" si="8"/>
        <v>138697.00196355558</v>
      </c>
      <c r="V32">
        <f t="shared" si="9"/>
        <v>34966.689761097572</v>
      </c>
      <c r="W32">
        <f t="shared" si="10"/>
        <v>26474.052010080672</v>
      </c>
      <c r="X32">
        <f t="shared" si="11"/>
        <v>22595.001438710126</v>
      </c>
      <c r="Y32">
        <f t="shared" si="12"/>
        <v>588128.84</v>
      </c>
    </row>
    <row r="33" spans="1:25" x14ac:dyDescent="0.3">
      <c r="A33">
        <v>585200</v>
      </c>
      <c r="B33">
        <f>$A33*Sheet4!A34</f>
        <v>99341.107375490639</v>
      </c>
      <c r="C33">
        <f>$A33*Sheet4!B34</f>
        <v>48487.567790274727</v>
      </c>
      <c r="D33">
        <f>$A33*Sheet4!C34</f>
        <v>47306.006890722179</v>
      </c>
      <c r="E33">
        <f>$A33*Sheet4!D34</f>
        <v>67183.79066509378</v>
      </c>
      <c r="F33">
        <f>$A33*Sheet4!E34</f>
        <v>95979.137992330056</v>
      </c>
      <c r="G33">
        <f>$A33*Sheet4!F34</f>
        <v>142583.69666243403</v>
      </c>
      <c r="H33">
        <f>$A33*Sheet4!G34</f>
        <v>35566.488614122674</v>
      </c>
      <c r="I33">
        <f>$A33*Sheet4!H34</f>
        <v>27059.882713923096</v>
      </c>
      <c r="J33">
        <f>$A33*Sheet4!I34</f>
        <v>23195.02178288604</v>
      </c>
      <c r="K33">
        <f t="shared" si="2"/>
        <v>586702.70048727724</v>
      </c>
      <c r="L33">
        <v>1.0025678408873502</v>
      </c>
      <c r="M33">
        <v>1.0007999999999999</v>
      </c>
      <c r="N33" s="1">
        <f t="shared" si="13"/>
        <v>1.0017664277451541</v>
      </c>
      <c r="P33">
        <f t="shared" si="3"/>
        <v>99165.93791138973</v>
      </c>
      <c r="Q33">
        <f t="shared" si="4"/>
        <v>48402.069032612657</v>
      </c>
      <c r="R33">
        <f t="shared" si="5"/>
        <v>47222.591594731166</v>
      </c>
      <c r="S33">
        <f t="shared" si="6"/>
        <v>67065.32461495616</v>
      </c>
      <c r="T33">
        <f t="shared" si="7"/>
        <v>95809.896732481444</v>
      </c>
      <c r="U33">
        <f t="shared" si="8"/>
        <v>142332.27697934676</v>
      </c>
      <c r="V33">
        <f t="shared" si="9"/>
        <v>35503.773763089877</v>
      </c>
      <c r="W33">
        <f t="shared" si="10"/>
        <v>27012.167671491417</v>
      </c>
      <c r="X33">
        <f t="shared" si="11"/>
        <v>23154.121699900661</v>
      </c>
      <c r="Y33">
        <f t="shared" si="12"/>
        <v>585668.15999999992</v>
      </c>
    </row>
    <row r="34" spans="1:25" x14ac:dyDescent="0.3">
      <c r="A34">
        <v>582799.99999999988</v>
      </c>
      <c r="B34">
        <f>$A34*Sheet4!A35</f>
        <v>91661.225797240098</v>
      </c>
      <c r="C34">
        <f>$A34*Sheet4!B35</f>
        <v>45956.868228548781</v>
      </c>
      <c r="D34">
        <f>$A34*Sheet4!C35</f>
        <v>47051.549158578615</v>
      </c>
      <c r="E34">
        <f>$A34*Sheet4!D35</f>
        <v>67612.143215917662</v>
      </c>
      <c r="F34">
        <f>$A34*Sheet4!E35</f>
        <v>98218.103099733955</v>
      </c>
      <c r="G34">
        <f>$A34*Sheet4!F35</f>
        <v>146113.41329066869</v>
      </c>
      <c r="H34">
        <f>$A34*Sheet4!G35</f>
        <v>36088.563993962824</v>
      </c>
      <c r="I34">
        <f>$A34*Sheet4!H35</f>
        <v>27588.307403883271</v>
      </c>
      <c r="J34">
        <f>$A34*Sheet4!I35</f>
        <v>23744.25115985602</v>
      </c>
      <c r="K34">
        <f t="shared" si="2"/>
        <v>584034.42534838989</v>
      </c>
      <c r="L34">
        <v>1.002118094283442</v>
      </c>
      <c r="M34">
        <v>1.0006999999999999</v>
      </c>
      <c r="N34" s="1">
        <f t="shared" si="13"/>
        <v>1.0014171023118239</v>
      </c>
      <c r="P34">
        <f t="shared" si="3"/>
        <v>91531.516273923567</v>
      </c>
      <c r="Q34">
        <f t="shared" si="4"/>
        <v>45891.834803355108</v>
      </c>
      <c r="R34">
        <f t="shared" si="5"/>
        <v>46984.966653712669</v>
      </c>
      <c r="S34">
        <f t="shared" si="6"/>
        <v>67516.465476604586</v>
      </c>
      <c r="T34">
        <f t="shared" si="7"/>
        <v>98079.114959183658</v>
      </c>
      <c r="U34">
        <f t="shared" si="8"/>
        <v>145906.64864156823</v>
      </c>
      <c r="V34">
        <f t="shared" si="9"/>
        <v>36037.49517623624</v>
      </c>
      <c r="W34">
        <f t="shared" si="10"/>
        <v>27549.267273540881</v>
      </c>
      <c r="X34">
        <f t="shared" si="11"/>
        <v>23710.650741874859</v>
      </c>
      <c r="Y34">
        <f t="shared" si="12"/>
        <v>583207.95999999985</v>
      </c>
    </row>
    <row r="35" spans="1:25" x14ac:dyDescent="0.3">
      <c r="A35">
        <v>580399.99999999988</v>
      </c>
      <c r="B35">
        <f>$A35*Sheet4!A36</f>
        <v>83983.331158416084</v>
      </c>
      <c r="C35">
        <f>$A35*Sheet4!B36</f>
        <v>43431.609224157481</v>
      </c>
      <c r="D35">
        <f>$A35*Sheet4!C36</f>
        <v>46795.315366375398</v>
      </c>
      <c r="E35">
        <f>$A35*Sheet4!D36</f>
        <v>68024.216481301555</v>
      </c>
      <c r="F35">
        <f>$A35*Sheet4!E36</f>
        <v>100456.79479520094</v>
      </c>
      <c r="G35">
        <f>$A35*Sheet4!F36</f>
        <v>149631.05247458076</v>
      </c>
      <c r="H35">
        <f>$A35*Sheet4!G36</f>
        <v>36602.410864739541</v>
      </c>
      <c r="I35">
        <f>$A35*Sheet4!H36</f>
        <v>28112.954758963449</v>
      </c>
      <c r="J35">
        <f>$A35*Sheet4!I36</f>
        <v>24282.441003265998</v>
      </c>
      <c r="K35">
        <f t="shared" si="2"/>
        <v>581320.12612700125</v>
      </c>
      <c r="L35">
        <v>1.0015853310251575</v>
      </c>
      <c r="M35">
        <v>1.0005999999999999</v>
      </c>
      <c r="N35" s="1">
        <f t="shared" si="13"/>
        <v>1.000984740181049</v>
      </c>
      <c r="P35">
        <f t="shared" si="3"/>
        <v>83900.71075731478</v>
      </c>
      <c r="Q35">
        <f t="shared" si="4"/>
        <v>43388.882448199925</v>
      </c>
      <c r="R35">
        <f t="shared" si="5"/>
        <v>46749.279472443792</v>
      </c>
      <c r="S35">
        <f t="shared" si="6"/>
        <v>67957.296201136851</v>
      </c>
      <c r="T35">
        <f t="shared" si="7"/>
        <v>100357.9682713557</v>
      </c>
      <c r="U35">
        <f t="shared" si="8"/>
        <v>149483.84972134227</v>
      </c>
      <c r="V35">
        <f t="shared" si="9"/>
        <v>36566.402458961791</v>
      </c>
      <c r="W35">
        <f t="shared" si="10"/>
        <v>28085.298037489196</v>
      </c>
      <c r="X35">
        <f t="shared" si="11"/>
        <v>24258.552631755418</v>
      </c>
      <c r="Y35">
        <f t="shared" si="12"/>
        <v>580748.23999999976</v>
      </c>
    </row>
    <row r="36" spans="1:25" x14ac:dyDescent="0.3">
      <c r="A36">
        <v>578000</v>
      </c>
      <c r="B36">
        <f>$A36*Sheet4!A37</f>
        <v>76408.237578609725</v>
      </c>
      <c r="C36">
        <f>$A36*Sheet4!B37</f>
        <v>40944.88338174126</v>
      </c>
      <c r="D36">
        <f>$A36*Sheet4!C37</f>
        <v>46542.657175368222</v>
      </c>
      <c r="E36">
        <f>$A36*Sheet4!D37</f>
        <v>68433.235661245461</v>
      </c>
      <c r="F36">
        <f>$A36*Sheet4!E37</f>
        <v>102656.93048977989</v>
      </c>
      <c r="G36">
        <f>$A36*Sheet4!F37</f>
        <v>153049.79943568012</v>
      </c>
      <c r="H36">
        <f>$A36*Sheet4!G37</f>
        <v>37119.128505179055</v>
      </c>
      <c r="I36">
        <f>$A36*Sheet4!H37</f>
        <v>28634.309227523634</v>
      </c>
      <c r="J36">
        <f>$A36*Sheet4!I37</f>
        <v>24819.599980795985</v>
      </c>
      <c r="K36">
        <f t="shared" si="2"/>
        <v>578608.78143592342</v>
      </c>
      <c r="L36">
        <v>1.0010532550794522</v>
      </c>
      <c r="M36">
        <v>1.0004999999999999</v>
      </c>
      <c r="N36" s="1">
        <f t="shared" si="13"/>
        <v>1.0005529785901572</v>
      </c>
      <c r="P36">
        <f t="shared" si="3"/>
        <v>76366.008810721643</v>
      </c>
      <c r="Q36">
        <f t="shared" si="4"/>
        <v>40922.25425127933</v>
      </c>
      <c r="R36">
        <f t="shared" si="5"/>
        <v>46516.934306616909</v>
      </c>
      <c r="S36">
        <f t="shared" si="6"/>
        <v>68395.414461383378</v>
      </c>
      <c r="T36">
        <f t="shared" si="7"/>
        <v>102600.19477872128</v>
      </c>
      <c r="U36">
        <f t="shared" si="8"/>
        <v>152965.21294788111</v>
      </c>
      <c r="V36">
        <f t="shared" si="9"/>
        <v>37098.613766041919</v>
      </c>
      <c r="W36">
        <f t="shared" si="10"/>
        <v>28618.483818689139</v>
      </c>
      <c r="X36">
        <f t="shared" si="11"/>
        <v>24805.882858665194</v>
      </c>
      <c r="Y36">
        <f t="shared" si="12"/>
        <v>578289</v>
      </c>
    </row>
    <row r="37" spans="1:25" x14ac:dyDescent="0.3">
      <c r="A37">
        <v>576200</v>
      </c>
      <c r="B37">
        <f>$A37*Sheet4!A38</f>
        <v>69009.324608610448</v>
      </c>
      <c r="C37">
        <f>$A37*Sheet4!B38</f>
        <v>38518.917298017477</v>
      </c>
      <c r="D37">
        <f>$A37*Sheet4!C38</f>
        <v>46338.580084551795</v>
      </c>
      <c r="E37">
        <f>$A37*Sheet4!D38</f>
        <v>68910.326866723379</v>
      </c>
      <c r="F37">
        <f>$A37*Sheet4!E38</f>
        <v>104883.9358747081</v>
      </c>
      <c r="G37">
        <f>$A37*Sheet4!F38</f>
        <v>156628.14191826293</v>
      </c>
      <c r="H37">
        <f>$A37*Sheet4!G38</f>
        <v>37663.316293855853</v>
      </c>
      <c r="I37">
        <f>$A37*Sheet4!H38</f>
        <v>29179.194320733772</v>
      </c>
      <c r="J37">
        <f>$A37*Sheet4!I38</f>
        <v>25381.767473063472</v>
      </c>
      <c r="K37">
        <f t="shared" si="2"/>
        <v>576513.50473852712</v>
      </c>
      <c r="L37">
        <v>1.0005440901397558</v>
      </c>
      <c r="M37">
        <v>1</v>
      </c>
      <c r="N37" s="1">
        <v>1</v>
      </c>
      <c r="P37">
        <f t="shared" si="3"/>
        <v>69009.324608610448</v>
      </c>
      <c r="Q37">
        <f t="shared" si="4"/>
        <v>38518.917298017477</v>
      </c>
      <c r="R37">
        <f t="shared" si="5"/>
        <v>46338.580084551795</v>
      </c>
      <c r="S37">
        <f t="shared" si="6"/>
        <v>68910.326866723379</v>
      </c>
      <c r="T37">
        <f t="shared" si="7"/>
        <v>104883.9358747081</v>
      </c>
      <c r="U37">
        <f t="shared" si="8"/>
        <v>156628.14191826293</v>
      </c>
      <c r="V37">
        <f t="shared" si="9"/>
        <v>37663.316293855853</v>
      </c>
      <c r="W37">
        <f t="shared" si="10"/>
        <v>29179.194320733772</v>
      </c>
      <c r="X37">
        <f t="shared" si="11"/>
        <v>25381.767473063472</v>
      </c>
      <c r="Y37">
        <f t="shared" si="12"/>
        <v>576513.50473852712</v>
      </c>
    </row>
    <row r="38" spans="1:25" x14ac:dyDescent="0.3">
      <c r="A38">
        <v>574400</v>
      </c>
      <c r="B38">
        <f>$A38*Sheet4!A39</f>
        <v>61650.214855984872</v>
      </c>
      <c r="C38">
        <f>$A38*Sheet4!B39</f>
        <v>36100.292979321122</v>
      </c>
      <c r="D38">
        <f>$A38*Sheet4!C39</f>
        <v>46132.683747952964</v>
      </c>
      <c r="E38">
        <f>$A38*Sheet4!D39</f>
        <v>69388.118231881293</v>
      </c>
      <c r="F38">
        <f>$A38*Sheet4!E39</f>
        <v>107121.06764135946</v>
      </c>
      <c r="G38">
        <f>$A38*Sheet4!F39</f>
        <v>160216.55378118716</v>
      </c>
      <c r="H38">
        <f>$A38*Sheet4!G39</f>
        <v>38211.782721788499</v>
      </c>
      <c r="I38">
        <f>$A38*Sheet4!H39</f>
        <v>29716.251068143905</v>
      </c>
      <c r="J38">
        <f>$A38*Sheet4!I39</f>
        <v>25937.792101130955</v>
      </c>
      <c r="K38">
        <f t="shared" si="2"/>
        <v>574474.75712875021</v>
      </c>
      <c r="L38">
        <v>1.0001301482046487</v>
      </c>
      <c r="M38">
        <v>1</v>
      </c>
      <c r="N38" s="1">
        <v>1</v>
      </c>
      <c r="P38">
        <f t="shared" si="3"/>
        <v>61650.214855984872</v>
      </c>
      <c r="Q38">
        <f t="shared" si="4"/>
        <v>36100.292979321122</v>
      </c>
      <c r="R38">
        <f t="shared" si="5"/>
        <v>46132.683747952964</v>
      </c>
      <c r="S38">
        <f t="shared" si="6"/>
        <v>69388.118231881293</v>
      </c>
      <c r="T38">
        <f t="shared" si="7"/>
        <v>107121.06764135946</v>
      </c>
      <c r="U38">
        <f t="shared" si="8"/>
        <v>160216.55378118716</v>
      </c>
      <c r="V38">
        <f t="shared" si="9"/>
        <v>38211.782721788499</v>
      </c>
      <c r="W38">
        <f t="shared" si="10"/>
        <v>29716.251068143905</v>
      </c>
      <c r="X38">
        <f t="shared" si="11"/>
        <v>25937.792101130955</v>
      </c>
      <c r="Y38">
        <f t="shared" si="12"/>
        <v>574474.75712875021</v>
      </c>
    </row>
    <row r="39" spans="1:25" x14ac:dyDescent="0.3">
      <c r="A39">
        <v>572600</v>
      </c>
      <c r="B39">
        <f>$A39*Sheet4!A40</f>
        <v>54324.86347431055</v>
      </c>
      <c r="C39">
        <f>$A39*Sheet4!B40</f>
        <v>33707.133268241028</v>
      </c>
      <c r="D39">
        <f>$A39*Sheet4!C40</f>
        <v>45928.122278969931</v>
      </c>
      <c r="E39">
        <f>$A39*Sheet4!D40</f>
        <v>69855.811267519224</v>
      </c>
      <c r="F39">
        <f>$A39*Sheet4!E40</f>
        <v>109296.31995060145</v>
      </c>
      <c r="G39">
        <f>$A39*Sheet4!F40</f>
        <v>163755.09016991453</v>
      </c>
      <c r="H39">
        <f>$A39*Sheet4!G40</f>
        <v>38754.947861880464</v>
      </c>
      <c r="I39">
        <f>$A39*Sheet4!H40</f>
        <v>30255.975277714038</v>
      </c>
      <c r="J39">
        <f>$A39*Sheet4!I40</f>
        <v>26491.199855818442</v>
      </c>
      <c r="K39">
        <f t="shared" si="2"/>
        <v>572369.46340496966</v>
      </c>
      <c r="L39">
        <v>0.99959738631674755</v>
      </c>
      <c r="M39">
        <v>1</v>
      </c>
      <c r="N39" s="1">
        <v>1</v>
      </c>
      <c r="P39">
        <f t="shared" si="3"/>
        <v>54324.86347431055</v>
      </c>
      <c r="Q39">
        <f t="shared" si="4"/>
        <v>33707.133268241028</v>
      </c>
      <c r="R39">
        <f t="shared" si="5"/>
        <v>45928.122278969931</v>
      </c>
      <c r="S39">
        <f t="shared" si="6"/>
        <v>69855.811267519224</v>
      </c>
      <c r="T39">
        <f t="shared" si="7"/>
        <v>109296.31995060145</v>
      </c>
      <c r="U39">
        <f t="shared" si="8"/>
        <v>163755.09016991453</v>
      </c>
      <c r="V39">
        <f t="shared" si="9"/>
        <v>38754.947861880464</v>
      </c>
      <c r="W39">
        <f t="shared" si="10"/>
        <v>30255.975277714038</v>
      </c>
      <c r="X39">
        <f t="shared" si="11"/>
        <v>26491.199855818442</v>
      </c>
      <c r="Y39">
        <f t="shared" si="12"/>
        <v>572369.46340496966</v>
      </c>
    </row>
    <row r="40" spans="1:25" x14ac:dyDescent="0.3">
      <c r="A40">
        <v>570800</v>
      </c>
      <c r="B40">
        <f>$A40*Sheet4!A41</f>
        <v>46987.708307483525</v>
      </c>
      <c r="C40">
        <f>$A40*Sheet4!B41</f>
        <v>31332.491317503733</v>
      </c>
      <c r="D40">
        <f>$A40*Sheet4!C41</f>
        <v>45724.694883525342</v>
      </c>
      <c r="E40">
        <f>$A40*Sheet4!D41</f>
        <v>70327.437537397142</v>
      </c>
      <c r="F40">
        <f>$A40*Sheet4!E41</f>
        <v>111521.4867295836</v>
      </c>
      <c r="G40">
        <f>$A40*Sheet4!F41</f>
        <v>167299.09028441584</v>
      </c>
      <c r="H40">
        <f>$A40*Sheet4!G41</f>
        <v>39295.852707639824</v>
      </c>
      <c r="I40">
        <f>$A40*Sheet4!H41</f>
        <v>30788.80860548417</v>
      </c>
      <c r="J40">
        <f>$A40*Sheet4!I41</f>
        <v>27034.57139266593</v>
      </c>
      <c r="K40">
        <f t="shared" si="2"/>
        <v>570312.14176569914</v>
      </c>
      <c r="L40">
        <v>0.99914530792869505</v>
      </c>
      <c r="M40">
        <v>1</v>
      </c>
      <c r="N40" s="1">
        <v>1</v>
      </c>
      <c r="P40">
        <f t="shared" si="3"/>
        <v>46987.708307483525</v>
      </c>
      <c r="Q40">
        <f t="shared" si="4"/>
        <v>31332.491317503733</v>
      </c>
      <c r="R40">
        <f t="shared" si="5"/>
        <v>45724.694883525342</v>
      </c>
      <c r="S40">
        <f t="shared" si="6"/>
        <v>70327.437537397142</v>
      </c>
      <c r="T40">
        <f t="shared" si="7"/>
        <v>111521.4867295836</v>
      </c>
      <c r="U40">
        <f t="shared" si="8"/>
        <v>167299.09028441584</v>
      </c>
      <c r="V40">
        <f t="shared" si="9"/>
        <v>39295.852707639824</v>
      </c>
      <c r="W40">
        <f t="shared" si="10"/>
        <v>30788.80860548417</v>
      </c>
      <c r="X40">
        <f t="shared" si="11"/>
        <v>27034.57139266593</v>
      </c>
      <c r="Y40">
        <f t="shared" si="12"/>
        <v>570312.14176569914</v>
      </c>
    </row>
    <row r="41" spans="1:25" x14ac:dyDescent="0.3">
      <c r="A41">
        <v>569000</v>
      </c>
      <c r="B41">
        <f>$A41*Sheet4!A42</f>
        <v>39738.079048070722</v>
      </c>
      <c r="C41">
        <f>$A41*Sheet4!B42</f>
        <v>28975.832722757808</v>
      </c>
      <c r="D41">
        <f>$A41*Sheet4!C42</f>
        <v>45521.141112747478</v>
      </c>
      <c r="E41">
        <f>$A41*Sheet4!D42</f>
        <v>70783.393049035061</v>
      </c>
      <c r="F41">
        <f>$A41*Sheet4!E42</f>
        <v>113680.13107354964</v>
      </c>
      <c r="G41">
        <f>$A41*Sheet4!F42</f>
        <v>170785.49006265556</v>
      </c>
      <c r="H41">
        <f>$A41*Sheet4!G42</f>
        <v>39827.939177648346</v>
      </c>
      <c r="I41">
        <f>$A41*Sheet4!H42</f>
        <v>31316.727027874305</v>
      </c>
      <c r="J41">
        <f>$A41*Sheet4!I42</f>
        <v>27580.490670533418</v>
      </c>
      <c r="K41">
        <f t="shared" si="2"/>
        <v>568209.22394487227</v>
      </c>
      <c r="L41">
        <v>0.99861023540399352</v>
      </c>
      <c r="M41">
        <v>1</v>
      </c>
      <c r="N41" s="1">
        <v>1</v>
      </c>
      <c r="P41">
        <f t="shared" si="3"/>
        <v>39738.079048070722</v>
      </c>
      <c r="Q41">
        <f t="shared" si="4"/>
        <v>28975.832722757808</v>
      </c>
      <c r="R41">
        <f t="shared" si="5"/>
        <v>45521.141112747478</v>
      </c>
      <c r="S41">
        <f t="shared" si="6"/>
        <v>70783.393049035061</v>
      </c>
      <c r="T41">
        <f t="shared" si="7"/>
        <v>113680.13107354964</v>
      </c>
      <c r="U41">
        <f t="shared" si="8"/>
        <v>170785.49006265556</v>
      </c>
      <c r="V41">
        <f t="shared" si="9"/>
        <v>39827.939177648346</v>
      </c>
      <c r="W41">
        <f t="shared" si="10"/>
        <v>31316.727027874305</v>
      </c>
      <c r="X41">
        <f t="shared" si="11"/>
        <v>27580.490670533418</v>
      </c>
      <c r="Y41">
        <f t="shared" si="12"/>
        <v>568209.22394487227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总体</vt:lpstr>
      <vt:lpstr>能源变化率</vt:lpstr>
      <vt:lpstr>各类型能源变化率</vt:lpstr>
      <vt:lpstr>结果</vt:lpstr>
      <vt:lpstr>输出</vt:lpstr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Yucheng Zhu</dc:creator>
  <cp:lastModifiedBy>Yucheng Zhu</cp:lastModifiedBy>
  <dcterms:created xsi:type="dcterms:W3CDTF">2015-06-05T18:19:34Z</dcterms:created>
  <dcterms:modified xsi:type="dcterms:W3CDTF">2024-07-21T08:17:56Z</dcterms:modified>
</cp:coreProperties>
</file>