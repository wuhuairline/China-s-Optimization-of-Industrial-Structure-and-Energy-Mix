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桌面文件\BIT_管理科学与工程_博士\论文3\优化代码及数据v2\数据更新20241216\"/>
    </mc:Choice>
  </mc:AlternateContent>
  <xr:revisionPtr revIDLastSave="0" documentId="13_ncr:1_{3CCA6B94-E0F0-491C-99E0-017D37E07AA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2" sheetId="2" r:id="rId1"/>
    <sheet name="Sheet1" sheetId="1" r:id="rId2"/>
    <sheet name="Sheet4" sheetId="4" r:id="rId3"/>
    <sheet name="Sheet3" sheetId="3" r:id="rId4"/>
    <sheet name="Sheet5" sheetId="5" r:id="rId5"/>
    <sheet name="电力" sheetId="6" r:id="rId6"/>
    <sheet name="热力" sheetId="7" r:id="rId7"/>
    <sheet name="过渡表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8" i="8" l="1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57" i="8"/>
  <c r="K74" i="8"/>
  <c r="K73" i="8"/>
  <c r="K72" i="8"/>
  <c r="K71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57" i="8"/>
  <c r="E36" i="8"/>
  <c r="I36" i="8"/>
  <c r="M36" i="8"/>
  <c r="Q36" i="8"/>
  <c r="U36" i="8"/>
  <c r="Y36" i="8"/>
  <c r="AB36" i="8"/>
  <c r="E37" i="8"/>
  <c r="I37" i="8"/>
  <c r="M37" i="8"/>
  <c r="Q37" i="8"/>
  <c r="U37" i="8"/>
  <c r="Y37" i="8"/>
  <c r="AB37" i="8"/>
  <c r="E38" i="8"/>
  <c r="I38" i="8"/>
  <c r="M38" i="8"/>
  <c r="Q38" i="8"/>
  <c r="U38" i="8"/>
  <c r="Y38" i="8"/>
  <c r="AB38" i="8"/>
  <c r="E39" i="8"/>
  <c r="I39" i="8"/>
  <c r="M39" i="8"/>
  <c r="Q39" i="8"/>
  <c r="U39" i="8"/>
  <c r="Y39" i="8"/>
  <c r="AB39" i="8"/>
  <c r="E40" i="8"/>
  <c r="I40" i="8"/>
  <c r="M40" i="8"/>
  <c r="Q40" i="8"/>
  <c r="U40" i="8"/>
  <c r="Y40" i="8"/>
  <c r="AB40" i="8"/>
  <c r="E41" i="8"/>
  <c r="I41" i="8"/>
  <c r="M41" i="8"/>
  <c r="Q41" i="8"/>
  <c r="U41" i="8"/>
  <c r="Y41" i="8"/>
  <c r="AB41" i="8"/>
  <c r="E42" i="8"/>
  <c r="I42" i="8"/>
  <c r="M42" i="8"/>
  <c r="Q42" i="8"/>
  <c r="U42" i="8"/>
  <c r="Y42" i="8"/>
  <c r="AB42" i="8"/>
  <c r="E43" i="8"/>
  <c r="I43" i="8"/>
  <c r="M43" i="8"/>
  <c r="Q43" i="8"/>
  <c r="U43" i="8"/>
  <c r="Y43" i="8"/>
  <c r="AB43" i="8"/>
  <c r="E44" i="8"/>
  <c r="I44" i="8"/>
  <c r="M44" i="8"/>
  <c r="Q44" i="8"/>
  <c r="U44" i="8"/>
  <c r="Y44" i="8"/>
  <c r="AB44" i="8"/>
  <c r="E45" i="8"/>
  <c r="I45" i="8"/>
  <c r="M45" i="8"/>
  <c r="Q45" i="8"/>
  <c r="U45" i="8"/>
  <c r="Y45" i="8"/>
  <c r="AB45" i="8"/>
  <c r="E46" i="8"/>
  <c r="I46" i="8"/>
  <c r="M46" i="8"/>
  <c r="Q46" i="8"/>
  <c r="U46" i="8"/>
  <c r="Y46" i="8"/>
  <c r="AB46" i="8"/>
  <c r="E47" i="8"/>
  <c r="I47" i="8"/>
  <c r="M47" i="8"/>
  <c r="Q47" i="8"/>
  <c r="U47" i="8"/>
  <c r="Y47" i="8"/>
  <c r="AB47" i="8"/>
  <c r="E48" i="8"/>
  <c r="I48" i="8"/>
  <c r="M48" i="8"/>
  <c r="Q48" i="8"/>
  <c r="U48" i="8"/>
  <c r="Y48" i="8"/>
  <c r="AB48" i="8"/>
  <c r="E49" i="8"/>
  <c r="I49" i="8"/>
  <c r="M49" i="8"/>
  <c r="Q49" i="8"/>
  <c r="U49" i="8"/>
  <c r="Y49" i="8"/>
  <c r="AB49" i="8"/>
  <c r="E50" i="8"/>
  <c r="I50" i="8"/>
  <c r="M50" i="8"/>
  <c r="Q50" i="8"/>
  <c r="U50" i="8"/>
  <c r="Y50" i="8"/>
  <c r="AB50" i="8"/>
  <c r="E51" i="8"/>
  <c r="I51" i="8"/>
  <c r="M51" i="8"/>
  <c r="Q51" i="8"/>
  <c r="U51" i="8"/>
  <c r="Y51" i="8"/>
  <c r="AB51" i="8"/>
  <c r="E52" i="8"/>
  <c r="I52" i="8"/>
  <c r="M52" i="8"/>
  <c r="Q52" i="8"/>
  <c r="U52" i="8"/>
  <c r="Y52" i="8"/>
  <c r="AB52" i="8"/>
  <c r="B53" i="8"/>
  <c r="E53" i="8" s="1"/>
  <c r="C53" i="8"/>
  <c r="D53" i="8"/>
  <c r="F53" i="8"/>
  <c r="I53" i="8" s="1"/>
  <c r="G53" i="8"/>
  <c r="H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Y53" i="8" s="1"/>
  <c r="W53" i="8"/>
  <c r="X53" i="8"/>
  <c r="Z53" i="8"/>
  <c r="AB53" i="8" s="1"/>
  <c r="AA53" i="8"/>
  <c r="V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2" i="8"/>
  <c r="J19" i="8"/>
  <c r="J61" i="4"/>
  <c r="D14" i="5"/>
  <c r="C15" i="5"/>
  <c r="C14" i="5"/>
  <c r="C13" i="5"/>
  <c r="D13" i="5"/>
  <c r="D12" i="5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2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2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2" i="8"/>
  <c r="D18" i="5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C51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C47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C39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C34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C28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C25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C21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C17" i="4"/>
  <c r="W3" i="8"/>
  <c r="U3" i="8"/>
  <c r="O3" i="8"/>
  <c r="N3" i="8"/>
  <c r="M3" i="8"/>
  <c r="L3" i="8"/>
  <c r="K3" i="8"/>
  <c r="I3" i="8"/>
  <c r="H3" i="8"/>
  <c r="G3" i="8"/>
  <c r="W2" i="8"/>
  <c r="U2" i="8"/>
  <c r="O2" i="8"/>
  <c r="N2" i="8"/>
  <c r="N19" i="8" s="1"/>
  <c r="M2" i="8"/>
  <c r="M19" i="8" s="1"/>
  <c r="L2" i="8"/>
  <c r="L19" i="8" s="1"/>
  <c r="K2" i="8"/>
  <c r="K19" i="8" s="1"/>
  <c r="I2" i="8"/>
  <c r="H2" i="8"/>
  <c r="G2" i="8"/>
  <c r="V2" i="4"/>
  <c r="U2" i="4"/>
  <c r="T2" i="4"/>
  <c r="S2" i="4"/>
  <c r="Q2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8" i="4"/>
  <c r="V19" i="4"/>
  <c r="V20" i="4"/>
  <c r="V22" i="4"/>
  <c r="V23" i="4"/>
  <c r="V24" i="4"/>
  <c r="V26" i="4"/>
  <c r="V27" i="4"/>
  <c r="V29" i="4"/>
  <c r="V30" i="4"/>
  <c r="V31" i="4"/>
  <c r="V32" i="4"/>
  <c r="V33" i="4"/>
  <c r="V35" i="4"/>
  <c r="V36" i="4"/>
  <c r="V37" i="4"/>
  <c r="V38" i="4"/>
  <c r="V40" i="4"/>
  <c r="V41" i="4"/>
  <c r="V42" i="4"/>
  <c r="V43" i="4"/>
  <c r="V44" i="4"/>
  <c r="V45" i="4"/>
  <c r="V46" i="4"/>
  <c r="V48" i="4"/>
  <c r="V49" i="4"/>
  <c r="V50" i="4"/>
  <c r="V52" i="4"/>
  <c r="V53" i="4"/>
  <c r="V54" i="4"/>
  <c r="V55" i="4"/>
  <c r="V56" i="4"/>
  <c r="V57" i="4"/>
  <c r="V58" i="4"/>
  <c r="V59" i="4"/>
  <c r="V60" i="4"/>
  <c r="V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8" i="4"/>
  <c r="U19" i="4"/>
  <c r="U20" i="4"/>
  <c r="U22" i="4"/>
  <c r="U23" i="4"/>
  <c r="U24" i="4"/>
  <c r="U26" i="4"/>
  <c r="U27" i="4"/>
  <c r="U29" i="4"/>
  <c r="U30" i="4"/>
  <c r="U31" i="4"/>
  <c r="U32" i="4"/>
  <c r="U33" i="4"/>
  <c r="U35" i="4"/>
  <c r="U36" i="4"/>
  <c r="U37" i="4"/>
  <c r="U38" i="4"/>
  <c r="U40" i="4"/>
  <c r="U41" i="4"/>
  <c r="U42" i="4"/>
  <c r="U43" i="4"/>
  <c r="U44" i="4"/>
  <c r="U45" i="4"/>
  <c r="U46" i="4"/>
  <c r="U48" i="4"/>
  <c r="U49" i="4"/>
  <c r="U50" i="4"/>
  <c r="U52" i="4"/>
  <c r="U53" i="4"/>
  <c r="U54" i="4"/>
  <c r="U55" i="4"/>
  <c r="U56" i="4"/>
  <c r="U57" i="4"/>
  <c r="U58" i="4"/>
  <c r="U59" i="4"/>
  <c r="U60" i="4"/>
  <c r="U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8" i="4"/>
  <c r="S19" i="4"/>
  <c r="S20" i="4"/>
  <c r="S22" i="4"/>
  <c r="S23" i="4"/>
  <c r="S24" i="4"/>
  <c r="S26" i="4"/>
  <c r="S27" i="4"/>
  <c r="S29" i="4"/>
  <c r="S30" i="4"/>
  <c r="S31" i="4"/>
  <c r="S32" i="4"/>
  <c r="S33" i="4"/>
  <c r="S35" i="4"/>
  <c r="S36" i="4"/>
  <c r="S37" i="4"/>
  <c r="S38" i="4"/>
  <c r="S40" i="4"/>
  <c r="S41" i="4"/>
  <c r="S42" i="4"/>
  <c r="S43" i="4"/>
  <c r="S44" i="4"/>
  <c r="S45" i="4"/>
  <c r="S46" i="4"/>
  <c r="S48" i="4"/>
  <c r="S49" i="4"/>
  <c r="S50" i="4"/>
  <c r="S52" i="4"/>
  <c r="S53" i="4"/>
  <c r="S54" i="4"/>
  <c r="S55" i="4"/>
  <c r="S56" i="4"/>
  <c r="S57" i="4"/>
  <c r="S58" i="4"/>
  <c r="S59" i="4"/>
  <c r="S60" i="4"/>
  <c r="S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8" i="4"/>
  <c r="T19" i="4"/>
  <c r="T20" i="4"/>
  <c r="T22" i="4"/>
  <c r="T23" i="4"/>
  <c r="T24" i="4"/>
  <c r="T26" i="4"/>
  <c r="T27" i="4"/>
  <c r="T29" i="4"/>
  <c r="T30" i="4"/>
  <c r="T31" i="4"/>
  <c r="T32" i="4"/>
  <c r="T33" i="4"/>
  <c r="T35" i="4"/>
  <c r="T36" i="4"/>
  <c r="T37" i="4"/>
  <c r="T38" i="4"/>
  <c r="T40" i="4"/>
  <c r="T41" i="4"/>
  <c r="T42" i="4"/>
  <c r="T43" i="4"/>
  <c r="T44" i="4"/>
  <c r="T45" i="4"/>
  <c r="T46" i="4"/>
  <c r="T48" i="4"/>
  <c r="T49" i="4"/>
  <c r="T50" i="4"/>
  <c r="T52" i="4"/>
  <c r="T53" i="4"/>
  <c r="T54" i="4"/>
  <c r="T55" i="4"/>
  <c r="T56" i="4"/>
  <c r="T57" i="4"/>
  <c r="T58" i="4"/>
  <c r="T59" i="4"/>
  <c r="T60" i="4"/>
  <c r="T3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8" i="4"/>
  <c r="Q19" i="4"/>
  <c r="Q20" i="4"/>
  <c r="Q22" i="4"/>
  <c r="Q23" i="4"/>
  <c r="Q24" i="4"/>
  <c r="Q26" i="4"/>
  <c r="Q27" i="4"/>
  <c r="Q29" i="4"/>
  <c r="Q30" i="4"/>
  <c r="Q31" i="4"/>
  <c r="Q32" i="4"/>
  <c r="Q33" i="4"/>
  <c r="Q35" i="4"/>
  <c r="Q36" i="4"/>
  <c r="Q37" i="4"/>
  <c r="Q38" i="4"/>
  <c r="Q40" i="4"/>
  <c r="Q41" i="4"/>
  <c r="Q42" i="4"/>
  <c r="Q43" i="4"/>
  <c r="Q44" i="4"/>
  <c r="Q45" i="4"/>
  <c r="Q46" i="4"/>
  <c r="Q48" i="4"/>
  <c r="Q49" i="4"/>
  <c r="Q50" i="4"/>
  <c r="Q52" i="4"/>
  <c r="Q53" i="4"/>
  <c r="Q54" i="4"/>
  <c r="Q55" i="4"/>
  <c r="Q56" i="4"/>
  <c r="Q57" i="4"/>
  <c r="Q58" i="4"/>
  <c r="Q59" i="4"/>
  <c r="Q60" i="4"/>
  <c r="U4" i="7"/>
  <c r="S3" i="7"/>
  <c r="R3" i="7"/>
  <c r="Q3" i="7"/>
  <c r="P3" i="7"/>
  <c r="O3" i="7"/>
  <c r="N3" i="7"/>
  <c r="M3" i="7"/>
  <c r="H3" i="7"/>
  <c r="G3" i="7"/>
  <c r="F3" i="7"/>
  <c r="E3" i="7"/>
  <c r="D3" i="7"/>
  <c r="B3" i="7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8" i="4"/>
  <c r="N19" i="4"/>
  <c r="N20" i="4"/>
  <c r="N22" i="4"/>
  <c r="N23" i="4"/>
  <c r="N24" i="4"/>
  <c r="N26" i="4"/>
  <c r="N27" i="4"/>
  <c r="N29" i="4"/>
  <c r="N30" i="4"/>
  <c r="N31" i="4"/>
  <c r="N32" i="4"/>
  <c r="N33" i="4"/>
  <c r="N35" i="4"/>
  <c r="N36" i="4"/>
  <c r="N37" i="4"/>
  <c r="N38" i="4"/>
  <c r="N40" i="4"/>
  <c r="N41" i="4"/>
  <c r="N42" i="4"/>
  <c r="N43" i="4"/>
  <c r="N44" i="4"/>
  <c r="N45" i="4"/>
  <c r="N46" i="4"/>
  <c r="N48" i="4"/>
  <c r="N49" i="4"/>
  <c r="N50" i="4"/>
  <c r="N52" i="4"/>
  <c r="N53" i="4"/>
  <c r="N54" i="4"/>
  <c r="N55" i="4"/>
  <c r="N56" i="4"/>
  <c r="N57" i="4"/>
  <c r="N58" i="4"/>
  <c r="N59" i="4"/>
  <c r="N60" i="4"/>
  <c r="N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8" i="4"/>
  <c r="O19" i="4"/>
  <c r="O20" i="4"/>
  <c r="O22" i="4"/>
  <c r="O23" i="4"/>
  <c r="O24" i="4"/>
  <c r="O26" i="4"/>
  <c r="O27" i="4"/>
  <c r="O29" i="4"/>
  <c r="O30" i="4"/>
  <c r="O31" i="4"/>
  <c r="O32" i="4"/>
  <c r="O33" i="4"/>
  <c r="O35" i="4"/>
  <c r="O36" i="4"/>
  <c r="O37" i="4"/>
  <c r="O38" i="4"/>
  <c r="O40" i="4"/>
  <c r="O41" i="4"/>
  <c r="O42" i="4"/>
  <c r="O43" i="4"/>
  <c r="O44" i="4"/>
  <c r="O45" i="4"/>
  <c r="O46" i="4"/>
  <c r="O48" i="4"/>
  <c r="O49" i="4"/>
  <c r="O50" i="4"/>
  <c r="O52" i="4"/>
  <c r="O53" i="4"/>
  <c r="O54" i="4"/>
  <c r="O55" i="4"/>
  <c r="O56" i="4"/>
  <c r="O57" i="4"/>
  <c r="O58" i="4"/>
  <c r="O59" i="4"/>
  <c r="O60" i="4"/>
  <c r="O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8" i="4"/>
  <c r="M19" i="4"/>
  <c r="M20" i="4"/>
  <c r="M22" i="4"/>
  <c r="M23" i="4"/>
  <c r="M24" i="4"/>
  <c r="M26" i="4"/>
  <c r="M27" i="4"/>
  <c r="M29" i="4"/>
  <c r="M30" i="4"/>
  <c r="M31" i="4"/>
  <c r="M32" i="4"/>
  <c r="M33" i="4"/>
  <c r="M35" i="4"/>
  <c r="M36" i="4"/>
  <c r="M37" i="4"/>
  <c r="M38" i="4"/>
  <c r="M40" i="4"/>
  <c r="M41" i="4"/>
  <c r="M42" i="4"/>
  <c r="M43" i="4"/>
  <c r="M44" i="4"/>
  <c r="M45" i="4"/>
  <c r="M46" i="4"/>
  <c r="M48" i="4"/>
  <c r="M49" i="4"/>
  <c r="M50" i="4"/>
  <c r="M52" i="4"/>
  <c r="M53" i="4"/>
  <c r="M54" i="4"/>
  <c r="M55" i="4"/>
  <c r="M56" i="4"/>
  <c r="M57" i="4"/>
  <c r="M58" i="4"/>
  <c r="M59" i="4"/>
  <c r="M60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8" i="4"/>
  <c r="L19" i="4"/>
  <c r="L20" i="4"/>
  <c r="L22" i="4"/>
  <c r="L23" i="4"/>
  <c r="L24" i="4"/>
  <c r="L26" i="4"/>
  <c r="L27" i="4"/>
  <c r="L29" i="4"/>
  <c r="L30" i="4"/>
  <c r="L31" i="4"/>
  <c r="L32" i="4"/>
  <c r="L33" i="4"/>
  <c r="L35" i="4"/>
  <c r="L36" i="4"/>
  <c r="L37" i="4"/>
  <c r="L38" i="4"/>
  <c r="L40" i="4"/>
  <c r="L41" i="4"/>
  <c r="L42" i="4"/>
  <c r="L43" i="4"/>
  <c r="L44" i="4"/>
  <c r="L45" i="4"/>
  <c r="L46" i="4"/>
  <c r="L48" i="4"/>
  <c r="L49" i="4"/>
  <c r="L50" i="4"/>
  <c r="L52" i="4"/>
  <c r="L53" i="4"/>
  <c r="L54" i="4"/>
  <c r="L55" i="4"/>
  <c r="L56" i="4"/>
  <c r="L57" i="4"/>
  <c r="L58" i="4"/>
  <c r="L59" i="4"/>
  <c r="L60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8" i="4"/>
  <c r="K19" i="4"/>
  <c r="K20" i="4"/>
  <c r="K22" i="4"/>
  <c r="K23" i="4"/>
  <c r="K24" i="4"/>
  <c r="K26" i="4"/>
  <c r="K27" i="4"/>
  <c r="K29" i="4"/>
  <c r="K30" i="4"/>
  <c r="K31" i="4"/>
  <c r="K32" i="4"/>
  <c r="K33" i="4"/>
  <c r="K35" i="4"/>
  <c r="K36" i="4"/>
  <c r="K37" i="4"/>
  <c r="K38" i="4"/>
  <c r="K40" i="4"/>
  <c r="K41" i="4"/>
  <c r="K42" i="4"/>
  <c r="K43" i="4"/>
  <c r="K44" i="4"/>
  <c r="K45" i="4"/>
  <c r="K46" i="4"/>
  <c r="K48" i="4"/>
  <c r="K49" i="4"/>
  <c r="K50" i="4"/>
  <c r="K52" i="4"/>
  <c r="K53" i="4"/>
  <c r="K54" i="4"/>
  <c r="K55" i="4"/>
  <c r="K56" i="4"/>
  <c r="K57" i="4"/>
  <c r="K58" i="4"/>
  <c r="K59" i="4"/>
  <c r="K60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8" i="4"/>
  <c r="G19" i="4"/>
  <c r="G20" i="4"/>
  <c r="G22" i="4"/>
  <c r="G23" i="4"/>
  <c r="G24" i="4"/>
  <c r="G26" i="4"/>
  <c r="G27" i="4"/>
  <c r="G29" i="4"/>
  <c r="G30" i="4"/>
  <c r="G31" i="4"/>
  <c r="G32" i="4"/>
  <c r="G33" i="4"/>
  <c r="G35" i="4"/>
  <c r="G36" i="4"/>
  <c r="G37" i="4"/>
  <c r="G38" i="4"/>
  <c r="G40" i="4"/>
  <c r="G41" i="4"/>
  <c r="G42" i="4"/>
  <c r="G43" i="4"/>
  <c r="G44" i="4"/>
  <c r="G45" i="4"/>
  <c r="G46" i="4"/>
  <c r="G48" i="4"/>
  <c r="G49" i="4"/>
  <c r="G50" i="4"/>
  <c r="G52" i="4"/>
  <c r="G53" i="4"/>
  <c r="G54" i="4"/>
  <c r="G55" i="4"/>
  <c r="G56" i="4"/>
  <c r="G57" i="4"/>
  <c r="G58" i="4"/>
  <c r="G59" i="4"/>
  <c r="G60" i="4"/>
  <c r="G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8" i="4"/>
  <c r="H19" i="4"/>
  <c r="H20" i="4"/>
  <c r="H22" i="4"/>
  <c r="H23" i="4"/>
  <c r="H24" i="4"/>
  <c r="H26" i="4"/>
  <c r="H27" i="4"/>
  <c r="H29" i="4"/>
  <c r="H30" i="4"/>
  <c r="H31" i="4"/>
  <c r="H32" i="4"/>
  <c r="H33" i="4"/>
  <c r="H35" i="4"/>
  <c r="H36" i="4"/>
  <c r="H37" i="4"/>
  <c r="H38" i="4"/>
  <c r="H40" i="4"/>
  <c r="H41" i="4"/>
  <c r="H42" i="4"/>
  <c r="H43" i="4"/>
  <c r="H44" i="4"/>
  <c r="H45" i="4"/>
  <c r="H46" i="4"/>
  <c r="H48" i="4"/>
  <c r="H49" i="4"/>
  <c r="H50" i="4"/>
  <c r="H52" i="4"/>
  <c r="H53" i="4"/>
  <c r="H54" i="4"/>
  <c r="H55" i="4"/>
  <c r="H56" i="4"/>
  <c r="H57" i="4"/>
  <c r="H58" i="4"/>
  <c r="H59" i="4"/>
  <c r="H60" i="4"/>
  <c r="H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8" i="4"/>
  <c r="I19" i="4"/>
  <c r="I20" i="4"/>
  <c r="I22" i="4"/>
  <c r="I23" i="4"/>
  <c r="I24" i="4"/>
  <c r="I26" i="4"/>
  <c r="I27" i="4"/>
  <c r="I29" i="4"/>
  <c r="I30" i="4"/>
  <c r="I31" i="4"/>
  <c r="I32" i="4"/>
  <c r="I33" i="4"/>
  <c r="I35" i="4"/>
  <c r="I36" i="4"/>
  <c r="I37" i="4"/>
  <c r="I38" i="4"/>
  <c r="I40" i="4"/>
  <c r="I41" i="4"/>
  <c r="I42" i="4"/>
  <c r="I43" i="4"/>
  <c r="I44" i="4"/>
  <c r="I45" i="4"/>
  <c r="I46" i="4"/>
  <c r="I48" i="4"/>
  <c r="I49" i="4"/>
  <c r="I50" i="4"/>
  <c r="I52" i="4"/>
  <c r="I53" i="4"/>
  <c r="I54" i="4"/>
  <c r="I55" i="4"/>
  <c r="I56" i="4"/>
  <c r="I57" i="4"/>
  <c r="I58" i="4"/>
  <c r="I59" i="4"/>
  <c r="I60" i="4"/>
  <c r="I2" i="4"/>
  <c r="C13" i="6"/>
  <c r="E13" i="5"/>
  <c r="E14" i="5"/>
  <c r="E15" i="5"/>
  <c r="E16" i="5"/>
  <c r="E17" i="5"/>
  <c r="E12" i="5"/>
  <c r="D15" i="5"/>
  <c r="D16" i="5"/>
  <c r="D17" i="5"/>
  <c r="C16" i="5"/>
  <c r="C17" i="5"/>
  <c r="C12" i="5"/>
  <c r="G3" i="5"/>
  <c r="G4" i="5"/>
  <c r="G5" i="5"/>
  <c r="G6" i="5"/>
  <c r="G7" i="5"/>
  <c r="G2" i="5"/>
  <c r="W3" i="5"/>
  <c r="W4" i="5"/>
  <c r="W5" i="5"/>
  <c r="W6" i="5"/>
  <c r="W7" i="5"/>
  <c r="W2" i="5"/>
  <c r="U3" i="5"/>
  <c r="U4" i="5"/>
  <c r="U5" i="5"/>
  <c r="U6" i="5"/>
  <c r="U7" i="5"/>
  <c r="U2" i="5"/>
  <c r="S3" i="5"/>
  <c r="S4" i="5"/>
  <c r="S5" i="5"/>
  <c r="S6" i="5"/>
  <c r="S7" i="5"/>
  <c r="S2" i="5"/>
  <c r="Q3" i="5"/>
  <c r="Q4" i="5"/>
  <c r="Q5" i="5"/>
  <c r="Q6" i="5"/>
  <c r="Q7" i="5"/>
  <c r="Q2" i="5"/>
  <c r="O3" i="5"/>
  <c r="O4" i="5"/>
  <c r="O5" i="5"/>
  <c r="O6" i="5"/>
  <c r="O7" i="5"/>
  <c r="O2" i="5"/>
  <c r="M3" i="5"/>
  <c r="M4" i="5"/>
  <c r="M5" i="5"/>
  <c r="M6" i="5"/>
  <c r="M7" i="5"/>
  <c r="M2" i="5"/>
  <c r="K3" i="5"/>
  <c r="K4" i="5"/>
  <c r="K5" i="5"/>
  <c r="K6" i="5"/>
  <c r="K7" i="5"/>
  <c r="K2" i="5"/>
  <c r="I3" i="5"/>
  <c r="I4" i="5"/>
  <c r="I5" i="5"/>
  <c r="I6" i="5"/>
  <c r="I7" i="5"/>
  <c r="I2" i="5"/>
  <c r="S19" i="8" l="1"/>
  <c r="H19" i="8"/>
  <c r="I19" i="8"/>
  <c r="R19" i="8"/>
  <c r="Q19" i="8"/>
  <c r="E3" i="5"/>
  <c r="E4" i="5"/>
  <c r="E5" i="5"/>
  <c r="E6" i="5"/>
  <c r="E7" i="5"/>
  <c r="E2" i="5"/>
  <c r="C3" i="5"/>
  <c r="C4" i="5"/>
  <c r="C5" i="5"/>
  <c r="C6" i="5"/>
  <c r="C7" i="5"/>
  <c r="C2" i="5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3" i="3"/>
</calcChain>
</file>

<file path=xl/sharedStrings.xml><?xml version="1.0" encoding="utf-8"?>
<sst xmlns="http://schemas.openxmlformats.org/spreadsheetml/2006/main" count="382" uniqueCount="307">
  <si>
    <t>煤炭</t>
    <phoneticPr fontId="1" type="noConversion"/>
  </si>
  <si>
    <t>石油</t>
    <phoneticPr fontId="1" type="noConversion"/>
  </si>
  <si>
    <t>天然气</t>
  </si>
  <si>
    <t>天然气</t>
    <phoneticPr fontId="1" type="noConversion"/>
  </si>
  <si>
    <t>电力</t>
  </si>
  <si>
    <t>电力</t>
    <phoneticPr fontId="1" type="noConversion"/>
  </si>
  <si>
    <t>热力</t>
    <phoneticPr fontId="1" type="noConversion"/>
  </si>
  <si>
    <t>其他</t>
    <phoneticPr fontId="1" type="noConversion"/>
  </si>
  <si>
    <t>农林牧渔</t>
    <phoneticPr fontId="1" type="noConversion"/>
  </si>
  <si>
    <t>采矿</t>
    <phoneticPr fontId="1" type="noConversion"/>
  </si>
  <si>
    <t>食品、饮料、烟草生产</t>
    <phoneticPr fontId="1" type="noConversion"/>
  </si>
  <si>
    <t>纺织与皮革制品</t>
    <phoneticPr fontId="1" type="noConversion"/>
  </si>
  <si>
    <t>木材加工</t>
    <phoneticPr fontId="1" type="noConversion"/>
  </si>
  <si>
    <t>文教、工美、体育用品生产</t>
    <phoneticPr fontId="1" type="noConversion"/>
  </si>
  <si>
    <t>石油、化学、医药制造与加工</t>
    <phoneticPr fontId="1" type="noConversion"/>
  </si>
  <si>
    <t>非金属矿物制品</t>
    <phoneticPr fontId="1" type="noConversion"/>
  </si>
  <si>
    <t>金属冶炼及加工</t>
  </si>
  <si>
    <t>设备、仪器、仪表制造</t>
  </si>
  <si>
    <t>其他制造业</t>
    <phoneticPr fontId="1" type="noConversion"/>
  </si>
  <si>
    <t>电力、热力、燃气、水的供应</t>
    <phoneticPr fontId="1" type="noConversion"/>
  </si>
  <si>
    <t>建筑</t>
  </si>
  <si>
    <t>批发、零售、住宿、餐饮</t>
    <phoneticPr fontId="1" type="noConversion"/>
  </si>
  <si>
    <t>交通运输、仓储与邮政</t>
    <phoneticPr fontId="1" type="noConversion"/>
  </si>
  <si>
    <t>其他服务业</t>
    <phoneticPr fontId="1" type="noConversion"/>
  </si>
  <si>
    <t>居民生活</t>
  </si>
  <si>
    <t>居民生活</t>
    <phoneticPr fontId="1" type="noConversion"/>
  </si>
  <si>
    <t>原煤</t>
  </si>
  <si>
    <t>原油</t>
  </si>
  <si>
    <t>水电</t>
    <phoneticPr fontId="1" type="noConversion"/>
  </si>
  <si>
    <t>风电</t>
    <phoneticPr fontId="1" type="noConversion"/>
  </si>
  <si>
    <t>核电</t>
    <phoneticPr fontId="1" type="noConversion"/>
  </si>
  <si>
    <t>生物质能</t>
    <phoneticPr fontId="1" type="noConversion"/>
  </si>
  <si>
    <t>太阳能</t>
    <phoneticPr fontId="1" type="noConversion"/>
  </si>
  <si>
    <t>核能</t>
    <phoneticPr fontId="1" type="noConversion"/>
  </si>
  <si>
    <t>风能</t>
    <phoneticPr fontId="1" type="noConversion"/>
  </si>
  <si>
    <t>工业</t>
  </si>
  <si>
    <t>Industry</t>
  </si>
  <si>
    <t>(一)采矿业</t>
  </si>
  <si>
    <t>Mining</t>
  </si>
  <si>
    <t xml:space="preserve">  煤炭开采和洗选业</t>
  </si>
  <si>
    <t xml:space="preserve">  Mining and Washing of Coal</t>
  </si>
  <si>
    <t xml:space="preserve">  石油和天然气开采业</t>
  </si>
  <si>
    <t xml:space="preserve">  Extraction of Petroleum and Natural Gas</t>
  </si>
  <si>
    <t xml:space="preserve">  黑色金属矿采选业</t>
  </si>
  <si>
    <t xml:space="preserve">  Mining and Processing of Ferrous Metal Ores</t>
  </si>
  <si>
    <t xml:space="preserve">  有色金属矿采选业</t>
  </si>
  <si>
    <t xml:space="preserve">  Mining and Processing of Non-Ferrous Metal Ores</t>
  </si>
  <si>
    <t xml:space="preserve">  非金属矿采选业</t>
  </si>
  <si>
    <t xml:space="preserve">  Mining and Processing of Nonmetal Ores</t>
  </si>
  <si>
    <t xml:space="preserve">  开采专业及辅助性活动</t>
  </si>
  <si>
    <t xml:space="preserve">  Professional and Support Activities for Mining</t>
  </si>
  <si>
    <t xml:space="preserve">  其他采矿业</t>
  </si>
  <si>
    <t xml:space="preserve">  Mining of Other Ores</t>
  </si>
  <si>
    <t>(二)制造业</t>
  </si>
  <si>
    <t>Manufacturing</t>
  </si>
  <si>
    <t xml:space="preserve">  农副食品加工业</t>
  </si>
  <si>
    <t xml:space="preserve">  Processing of Food from Agricultural Products</t>
  </si>
  <si>
    <t xml:space="preserve">  食品制造业</t>
  </si>
  <si>
    <t xml:space="preserve">  Manufacture of Foods</t>
  </si>
  <si>
    <t xml:space="preserve">  酒、饮料和精制茶制造业</t>
  </si>
  <si>
    <t xml:space="preserve">  Manufacture of Liquor,Beverages and Refined Tea</t>
  </si>
  <si>
    <t xml:space="preserve">  烟草制品业</t>
  </si>
  <si>
    <t xml:space="preserve">  Manufacture of Tobacco</t>
  </si>
  <si>
    <t xml:space="preserve">  纺织业</t>
  </si>
  <si>
    <t xml:space="preserve">  Manufacture of Textile</t>
  </si>
  <si>
    <t xml:space="preserve">  纺织服装、服饰业</t>
  </si>
  <si>
    <t xml:space="preserve">  Manufacture of Textile,Wearing Apparel and Accessories</t>
  </si>
  <si>
    <t xml:space="preserve">  皮革、毛皮、羽毛及其制品和制鞋业</t>
  </si>
  <si>
    <t xml:space="preserve">  Manufacture of Leather,Fur,Feather and Related Products and Footwear</t>
  </si>
  <si>
    <t xml:space="preserve">  木材加工和木、竹、藤、棕、草制品业</t>
  </si>
  <si>
    <t xml:space="preserve">  Processing of Timber,Manufacture of Wood,Bamboo,Rattan,Palm,
  Palm,and Straw Products</t>
  </si>
  <si>
    <t xml:space="preserve">  家具制造业</t>
  </si>
  <si>
    <t xml:space="preserve">  Manufacture of Furniture</t>
  </si>
  <si>
    <t xml:space="preserve">  造纸和纸制品业</t>
  </si>
  <si>
    <t xml:space="preserve">  Manufacture of Paper and Paper Products</t>
  </si>
  <si>
    <t xml:space="preserve">  印刷和记录媒介复制业</t>
  </si>
  <si>
    <t xml:space="preserve">  Printing and Reproduction of Recording Media</t>
  </si>
  <si>
    <t xml:space="preserve">  文教、工美、体育和娱乐用品制造业</t>
  </si>
  <si>
    <t xml:space="preserve">  Manufacture of Articles for Culture,Education,Arts and Crafts,
  Sport and Entertainment Activities</t>
  </si>
  <si>
    <t xml:space="preserve">  石油、煤炭及其他燃料加工业</t>
  </si>
  <si>
    <t xml:space="preserve">  Processing of Petroleum,Coal and Other Fuels</t>
  </si>
  <si>
    <t xml:space="preserve">  化学原料和化学制品制造业</t>
  </si>
  <si>
    <t xml:space="preserve">  Manufacture of Raw Chemical Materials and Chemical Products</t>
  </si>
  <si>
    <t xml:space="preserve">  医药制造业</t>
  </si>
  <si>
    <t xml:space="preserve">  Manufacture of Medicines</t>
  </si>
  <si>
    <t xml:space="preserve">  化学纤维制造业</t>
  </si>
  <si>
    <t xml:space="preserve">  Manufacture of Chemical Fibers</t>
  </si>
  <si>
    <t xml:space="preserve">  橡胶和塑料制品业</t>
  </si>
  <si>
    <t xml:space="preserve">  Manufacture of Rubber and Plastics Products</t>
  </si>
  <si>
    <t xml:space="preserve">  非金属矿物制品业</t>
  </si>
  <si>
    <t xml:space="preserve">  Manufacture of Non-metallic Mineral Products</t>
  </si>
  <si>
    <t xml:space="preserve">  黑色金属冶炼和压延加工业</t>
  </si>
  <si>
    <t xml:space="preserve">  Smelting and Pressing of Ferrous Metals</t>
  </si>
  <si>
    <t xml:space="preserve">  有色金属冶炼和压延加工业</t>
  </si>
  <si>
    <t xml:space="preserve">  Smelting and Pressing of Non-ferrous Metals</t>
  </si>
  <si>
    <t xml:space="preserve">  金属制品业</t>
  </si>
  <si>
    <t xml:space="preserve">  Manufacture of Metal Products</t>
  </si>
  <si>
    <t xml:space="preserve">  通用设备制造业</t>
  </si>
  <si>
    <t xml:space="preserve">  Manufacture of General Purpose Machinery</t>
  </si>
  <si>
    <t xml:space="preserve">  专用设备制造业</t>
  </si>
  <si>
    <t xml:space="preserve">  Manufacture of Special Purpose Machinery</t>
  </si>
  <si>
    <t xml:space="preserve">  汽车制造业</t>
  </si>
  <si>
    <t xml:space="preserve">  Manufacture of Automobiles</t>
  </si>
  <si>
    <t xml:space="preserve">  铁路、船舶、航空航天和其他运输设备
  制造业</t>
  </si>
  <si>
    <t xml:space="preserve">  Manufacture of Railway,Ship,Aerospace and Other Transport
  Equipments</t>
  </si>
  <si>
    <t xml:space="preserve">  电气机械和器材制造业</t>
  </si>
  <si>
    <t xml:space="preserve">  Manufacture of Electrical Machinery and Apparatus</t>
  </si>
  <si>
    <t xml:space="preserve">  计算机、通信和其他电子设备制造业</t>
  </si>
  <si>
    <t xml:space="preserve">  Manufacture of Computers,Communication and
  Other Electronic Equipment</t>
  </si>
  <si>
    <t xml:space="preserve">  仪器仪表制造业</t>
  </si>
  <si>
    <t xml:space="preserve">  Manufacture of Measuring Instruments and Machinery</t>
  </si>
  <si>
    <t xml:space="preserve">  其他制造业</t>
  </si>
  <si>
    <t xml:space="preserve">  Other Manufacture</t>
  </si>
  <si>
    <t xml:space="preserve">  废弃资源综合利用业</t>
  </si>
  <si>
    <t xml:space="preserve">  Utilization of Waste Resources</t>
  </si>
  <si>
    <t xml:space="preserve">  金属制品、机械和设备修理业</t>
  </si>
  <si>
    <t xml:space="preserve">  Repair Service of Metal Products,Machinery and Equipment</t>
  </si>
  <si>
    <t>(三)电力、热力、燃气及水生产和供应业</t>
  </si>
  <si>
    <t>Production and Supply of Electricity,Gas and Water</t>
  </si>
  <si>
    <t xml:space="preserve">  电力、热力生产和供应业</t>
  </si>
  <si>
    <t xml:space="preserve">  Production and Supply of Electric Power and Heat Power</t>
  </si>
  <si>
    <t xml:space="preserve">  燃气生产和供应业</t>
  </si>
  <si>
    <t xml:space="preserve">  Production and Supply of Gas</t>
  </si>
  <si>
    <t xml:space="preserve">  水的生产和供应业</t>
  </si>
  <si>
    <t xml:space="preserve">  Production and Supply of Water</t>
  </si>
  <si>
    <t>行 业</t>
  </si>
  <si>
    <t>Sector</t>
  </si>
  <si>
    <t>终端消费合计
Final Consumption Total</t>
  </si>
  <si>
    <t>煤合计
Coal Total</t>
  </si>
  <si>
    <t>原煤
Raw Coal</t>
  </si>
  <si>
    <t>洗精煤
Cleaned
Coal</t>
  </si>
  <si>
    <t>其他洗煤
Other
Washed
Coal</t>
  </si>
  <si>
    <t>焦炭
Coke</t>
  </si>
  <si>
    <t>焦炉煤气
Coke Oven
Gas</t>
  </si>
  <si>
    <t>高炉煤气
Blast Furnace
Gas</t>
  </si>
  <si>
    <t>转炉煤气
Converter
Gas</t>
  </si>
  <si>
    <t>其他煤气
Other Gas</t>
  </si>
  <si>
    <t>(发电煤耗
计算法)
(Coal
Equivalent
Calculation)</t>
  </si>
  <si>
    <t>(电热当量
计算法)
(Calorific
Value
Calculation)</t>
  </si>
  <si>
    <t>其他焦化产品
Other
Coking
Products</t>
  </si>
  <si>
    <t>油品合计
Petroleum
Products
Total</t>
  </si>
  <si>
    <t>原油
Crude Oil</t>
  </si>
  <si>
    <t>汽油
Gasoline</t>
  </si>
  <si>
    <t>煤油
Kerosene</t>
  </si>
  <si>
    <t>柴油
Diesel Oil</t>
  </si>
  <si>
    <t>燃料油
Fuel Oil</t>
  </si>
  <si>
    <t>石脑油
Naphtha</t>
  </si>
  <si>
    <t>润滑油
Lubricants</t>
  </si>
  <si>
    <t>石蜡
Paraffin
Waxes</t>
  </si>
  <si>
    <t>溶剂油
White Spirit</t>
  </si>
  <si>
    <t>石油沥青
Bitumen
Asphalt</t>
  </si>
  <si>
    <t>石油焦
Petroleum
Coke</t>
  </si>
  <si>
    <t>液化石油气
Liquefied
Petroleum Gas</t>
  </si>
  <si>
    <t>炼厂干气
Refinery
Gas</t>
  </si>
  <si>
    <t>其他石油制品
Other
Petroleum
Products</t>
  </si>
  <si>
    <t>天然气
Natural Gas</t>
  </si>
  <si>
    <t>液化天然气
Liquefied
Natural Gas</t>
  </si>
  <si>
    <t>热力
Heat</t>
  </si>
  <si>
    <t>电力
Electricity</t>
  </si>
  <si>
    <t>其他能源
Other Energy</t>
  </si>
  <si>
    <t>焦炭类</t>
    <phoneticPr fontId="1" type="noConversion"/>
  </si>
  <si>
    <t>煤炭合计</t>
  </si>
  <si>
    <t>煤炭合计</t>
    <phoneticPr fontId="1" type="noConversion"/>
  </si>
  <si>
    <t>原油合计</t>
    <phoneticPr fontId="1" type="noConversion"/>
  </si>
  <si>
    <t>油品合计</t>
    <phoneticPr fontId="1" type="noConversion"/>
  </si>
  <si>
    <t>天然气合计</t>
    <phoneticPr fontId="1" type="noConversion"/>
  </si>
  <si>
    <t>其他能源</t>
  </si>
  <si>
    <t>农林牧渔业</t>
    <phoneticPr fontId="1" type="noConversion"/>
  </si>
  <si>
    <t>建筑业</t>
  </si>
  <si>
    <t>建筑业</t>
    <phoneticPr fontId="1" type="noConversion"/>
  </si>
  <si>
    <t>工业</t>
    <phoneticPr fontId="1" type="noConversion"/>
  </si>
  <si>
    <t>(一)采矿业</t>
    <phoneticPr fontId="1" type="noConversion"/>
  </si>
  <si>
    <t xml:space="preserve">  煤炭开采和洗选业</t>
    <phoneticPr fontId="1" type="noConversion"/>
  </si>
  <si>
    <t xml:space="preserve">  石油和天然气开采业</t>
    <phoneticPr fontId="1" type="noConversion"/>
  </si>
  <si>
    <t xml:space="preserve">  黑色金属矿采选业</t>
    <phoneticPr fontId="1" type="noConversion"/>
  </si>
  <si>
    <t xml:space="preserve">  有色金属矿采选业</t>
    <phoneticPr fontId="1" type="noConversion"/>
  </si>
  <si>
    <t xml:space="preserve">  非金属矿采选业</t>
    <phoneticPr fontId="1" type="noConversion"/>
  </si>
  <si>
    <t xml:space="preserve">  开采专业及辅助性活动</t>
    <phoneticPr fontId="1" type="noConversion"/>
  </si>
  <si>
    <t xml:space="preserve">  其他采矿业</t>
    <phoneticPr fontId="1" type="noConversion"/>
  </si>
  <si>
    <t>(二)制造业</t>
    <phoneticPr fontId="1" type="noConversion"/>
  </si>
  <si>
    <t xml:space="preserve">  农副食品加工业</t>
    <phoneticPr fontId="1" type="noConversion"/>
  </si>
  <si>
    <t xml:space="preserve">  食品制造业</t>
    <phoneticPr fontId="1" type="noConversion"/>
  </si>
  <si>
    <t xml:space="preserve">  酒、饮料和精制茶制造业</t>
    <phoneticPr fontId="1" type="noConversion"/>
  </si>
  <si>
    <t xml:space="preserve">  烟草制品业</t>
    <phoneticPr fontId="1" type="noConversion"/>
  </si>
  <si>
    <t xml:space="preserve">  纺织业</t>
    <phoneticPr fontId="1" type="noConversion"/>
  </si>
  <si>
    <t xml:space="preserve">  纺织服装、服饰业</t>
    <phoneticPr fontId="1" type="noConversion"/>
  </si>
  <si>
    <t xml:space="preserve">  皮革、毛皮、羽毛及其制品和制鞋业</t>
    <phoneticPr fontId="1" type="noConversion"/>
  </si>
  <si>
    <t xml:space="preserve">  木材加工和木、竹、藤、棕、草制品业</t>
    <phoneticPr fontId="1" type="noConversion"/>
  </si>
  <si>
    <t xml:space="preserve">  家具制造业</t>
    <phoneticPr fontId="1" type="noConversion"/>
  </si>
  <si>
    <t xml:space="preserve">  造纸和纸制品业</t>
    <phoneticPr fontId="1" type="noConversion"/>
  </si>
  <si>
    <t xml:space="preserve">  印刷和记录媒介复制业</t>
    <phoneticPr fontId="1" type="noConversion"/>
  </si>
  <si>
    <t xml:space="preserve">  文教、工美、体育和娱乐用品制造业</t>
    <phoneticPr fontId="1" type="noConversion"/>
  </si>
  <si>
    <t xml:space="preserve">  石油、煤炭及其他燃料加工业</t>
    <phoneticPr fontId="1" type="noConversion"/>
  </si>
  <si>
    <t xml:space="preserve">  化学原料和化学制品制造业</t>
    <phoneticPr fontId="1" type="noConversion"/>
  </si>
  <si>
    <t xml:space="preserve">  医药制造业</t>
    <phoneticPr fontId="1" type="noConversion"/>
  </si>
  <si>
    <t xml:space="preserve">  化学纤维制造业</t>
    <phoneticPr fontId="1" type="noConversion"/>
  </si>
  <si>
    <t xml:space="preserve">  橡胶和塑料制品业</t>
    <phoneticPr fontId="1" type="noConversion"/>
  </si>
  <si>
    <t xml:space="preserve">  黑色金属冶炼和压延加工业</t>
    <phoneticPr fontId="1" type="noConversion"/>
  </si>
  <si>
    <t xml:space="preserve">  有色金属冶炼和压延加工业</t>
    <phoneticPr fontId="1" type="noConversion"/>
  </si>
  <si>
    <t xml:space="preserve">  金属制品业</t>
    <phoneticPr fontId="1" type="noConversion"/>
  </si>
  <si>
    <t xml:space="preserve">  通用设备制造业</t>
    <phoneticPr fontId="1" type="noConversion"/>
  </si>
  <si>
    <t xml:space="preserve">  专用设备制造业</t>
    <phoneticPr fontId="1" type="noConversion"/>
  </si>
  <si>
    <t xml:space="preserve">  汽车制造业</t>
    <phoneticPr fontId="1" type="noConversion"/>
  </si>
  <si>
    <t xml:space="preserve">  铁路、船舶、航空航天和其他运输设备
  制造业</t>
    <phoneticPr fontId="1" type="noConversion"/>
  </si>
  <si>
    <t xml:space="preserve">  电气机械和器材制造业</t>
    <phoneticPr fontId="1" type="noConversion"/>
  </si>
  <si>
    <t xml:space="preserve">  计算机、通信和其他电子设备制造业</t>
    <phoneticPr fontId="1" type="noConversion"/>
  </si>
  <si>
    <t xml:space="preserve">  仪器仪表制造业</t>
    <phoneticPr fontId="1" type="noConversion"/>
  </si>
  <si>
    <t xml:space="preserve">  其他制造业</t>
    <phoneticPr fontId="1" type="noConversion"/>
  </si>
  <si>
    <t xml:space="preserve">  废弃资源综合利用业</t>
    <phoneticPr fontId="1" type="noConversion"/>
  </si>
  <si>
    <t xml:space="preserve">  金属制品、机械和设备修理业</t>
    <phoneticPr fontId="1" type="noConversion"/>
  </si>
  <si>
    <t>(三)电力、热力、燃气及水生产和供应业</t>
    <phoneticPr fontId="1" type="noConversion"/>
  </si>
  <si>
    <t xml:space="preserve">  电力、热力生产和供应业</t>
    <phoneticPr fontId="1" type="noConversion"/>
  </si>
  <si>
    <t xml:space="preserve">  燃气生产和供应业</t>
    <phoneticPr fontId="1" type="noConversion"/>
  </si>
  <si>
    <t xml:space="preserve">  水的生产和供应业</t>
    <phoneticPr fontId="1" type="noConversion"/>
  </si>
  <si>
    <t>焦炭</t>
  </si>
  <si>
    <t>汽油</t>
  </si>
  <si>
    <t>煤油</t>
  </si>
  <si>
    <t>煤油</t>
    <phoneticPr fontId="1" type="noConversion"/>
  </si>
  <si>
    <t>柴油</t>
  </si>
  <si>
    <t>柴油</t>
    <phoneticPr fontId="1" type="noConversion"/>
  </si>
  <si>
    <t>燃料油</t>
  </si>
  <si>
    <t>燃料油</t>
    <phoneticPr fontId="1" type="noConversion"/>
  </si>
  <si>
    <t>煤炭（万吨）</t>
    <phoneticPr fontId="1" type="noConversion"/>
  </si>
  <si>
    <t>焦炭（万吨）</t>
    <phoneticPr fontId="1" type="noConversion"/>
  </si>
  <si>
    <t>原油（万吨）</t>
    <phoneticPr fontId="1" type="noConversion"/>
  </si>
  <si>
    <t>汽油（万吨）</t>
    <phoneticPr fontId="1" type="noConversion"/>
  </si>
  <si>
    <t>天然气（亿立方米）</t>
    <phoneticPr fontId="1" type="noConversion"/>
  </si>
  <si>
    <t>其他焦炭相关（亿立方米）</t>
    <phoneticPr fontId="1" type="noConversion"/>
  </si>
  <si>
    <t>油气（万吨）</t>
    <phoneticPr fontId="1" type="noConversion"/>
  </si>
  <si>
    <t>其他石油（万吨）</t>
    <phoneticPr fontId="1" type="noConversion"/>
  </si>
  <si>
    <t>油</t>
    <phoneticPr fontId="1" type="noConversion"/>
  </si>
  <si>
    <t>气</t>
    <phoneticPr fontId="1" type="noConversion"/>
  </si>
  <si>
    <t>水</t>
    <phoneticPr fontId="1" type="noConversion"/>
  </si>
  <si>
    <t>核</t>
    <phoneticPr fontId="1" type="noConversion"/>
  </si>
  <si>
    <t>风</t>
    <phoneticPr fontId="1" type="noConversion"/>
  </si>
  <si>
    <t>太阳</t>
    <phoneticPr fontId="1" type="noConversion"/>
  </si>
  <si>
    <t>生物</t>
    <phoneticPr fontId="1" type="noConversion"/>
  </si>
  <si>
    <t>其他可再生</t>
    <phoneticPr fontId="1" type="noConversion"/>
  </si>
  <si>
    <t>一、发电量</t>
  </si>
  <si>
    <t>亿千瓦时</t>
  </si>
  <si>
    <t xml:space="preserve">    水 电</t>
  </si>
  <si>
    <t xml:space="preserve">      其中:抽水蓄能</t>
  </si>
  <si>
    <t xml:space="preserve">    火 电</t>
  </si>
  <si>
    <t xml:space="preserve">      其中:燃煤</t>
  </si>
  <si>
    <t xml:space="preserve">           燃气</t>
  </si>
  <si>
    <t xml:space="preserve">           燃油</t>
  </si>
  <si>
    <t xml:space="preserve">      其中:生物质发电</t>
  </si>
  <si>
    <t xml:space="preserve">    核 电</t>
  </si>
  <si>
    <t xml:space="preserve">    风 电</t>
  </si>
  <si>
    <t xml:space="preserve">    太阳能发电</t>
  </si>
  <si>
    <t xml:space="preserve">    其 他</t>
  </si>
  <si>
    <t>煤</t>
    <phoneticPr fontId="1" type="noConversion"/>
  </si>
  <si>
    <t>其他能源（生物质）</t>
    <phoneticPr fontId="1" type="noConversion"/>
  </si>
  <si>
    <t>能源库存</t>
  </si>
  <si>
    <t>洗精煤</t>
  </si>
  <si>
    <t>其他洗选煤</t>
  </si>
  <si>
    <t>型煤</t>
  </si>
  <si>
    <t>焦炉煤气</t>
  </si>
  <si>
    <t>其他煤气</t>
  </si>
  <si>
    <t>其他炼焦产品</t>
  </si>
  <si>
    <t>液化石油气</t>
  </si>
  <si>
    <t>炼厂气</t>
  </si>
  <si>
    <t>其他石油产品</t>
  </si>
  <si>
    <t>热能</t>
  </si>
  <si>
    <t>供热</t>
    <phoneticPr fontId="1" type="noConversion"/>
  </si>
  <si>
    <t>生物质</t>
    <phoneticPr fontId="1" type="noConversion"/>
  </si>
  <si>
    <t>食品、饮料、烟草制造业</t>
  </si>
  <si>
    <t>食品、饮料、烟草制造业</t>
    <phoneticPr fontId="1" type="noConversion"/>
  </si>
  <si>
    <t>纺织与皮革制造业</t>
  </si>
  <si>
    <t>纺织与皮革制造业</t>
    <phoneticPr fontId="1" type="noConversion"/>
  </si>
  <si>
    <t>食品、饮料、烟草</t>
    <phoneticPr fontId="1" type="noConversion"/>
  </si>
  <si>
    <t>纺织与皮革</t>
    <phoneticPr fontId="1" type="noConversion"/>
  </si>
  <si>
    <t>设备、仪器、仪表</t>
    <phoneticPr fontId="1" type="noConversion"/>
  </si>
  <si>
    <t>金属制品</t>
  </si>
  <si>
    <t>金属制品</t>
    <phoneticPr fontId="1" type="noConversion"/>
  </si>
  <si>
    <t>非金属矿物制品</t>
  </si>
  <si>
    <t>石油、化工、医药、塑料与橡胶制品</t>
  </si>
  <si>
    <t>石油、化工、医药、塑料与橡胶制品</t>
    <phoneticPr fontId="1" type="noConversion"/>
  </si>
  <si>
    <t>文教、工美、体育制品</t>
  </si>
  <si>
    <t>文教、工美、体育制品</t>
    <phoneticPr fontId="1" type="noConversion"/>
  </si>
  <si>
    <t>木材加工制品</t>
  </si>
  <si>
    <t>木材加工制品</t>
    <phoneticPr fontId="1" type="noConversion"/>
  </si>
  <si>
    <t>设备与仪器</t>
  </si>
  <si>
    <t>设备与仪器</t>
    <phoneticPr fontId="1" type="noConversion"/>
  </si>
  <si>
    <t>采矿业</t>
    <phoneticPr fontId="1" type="noConversion"/>
  </si>
  <si>
    <t>电力、热力、燃气及水生产和供应</t>
    <phoneticPr fontId="1" type="noConversion"/>
  </si>
  <si>
    <t>交通运输、仓储与邮政</t>
  </si>
  <si>
    <t>批发、零售、住宿、餐饮</t>
  </si>
  <si>
    <t>其他服务业</t>
  </si>
  <si>
    <t>终端煤</t>
    <phoneticPr fontId="1" type="noConversion"/>
  </si>
  <si>
    <t>电煤</t>
    <phoneticPr fontId="1" type="noConversion"/>
  </si>
  <si>
    <t>热煤</t>
    <phoneticPr fontId="1" type="noConversion"/>
  </si>
  <si>
    <t>终端油</t>
    <phoneticPr fontId="1" type="noConversion"/>
  </si>
  <si>
    <t>电油</t>
    <phoneticPr fontId="1" type="noConversion"/>
  </si>
  <si>
    <t>热油</t>
    <phoneticPr fontId="1" type="noConversion"/>
  </si>
  <si>
    <t>终端气</t>
    <phoneticPr fontId="1" type="noConversion"/>
  </si>
  <si>
    <t>电气</t>
    <phoneticPr fontId="1" type="noConversion"/>
  </si>
  <si>
    <t>热气</t>
    <phoneticPr fontId="1" type="noConversion"/>
  </si>
  <si>
    <t>核热</t>
    <phoneticPr fontId="1" type="noConversion"/>
  </si>
  <si>
    <t>太阳电</t>
    <phoneticPr fontId="1" type="noConversion"/>
  </si>
  <si>
    <t>太阳热</t>
    <phoneticPr fontId="1" type="noConversion"/>
  </si>
  <si>
    <t>生物质能（其他）</t>
    <phoneticPr fontId="1" type="noConversion"/>
  </si>
  <si>
    <t>生物质电</t>
    <phoneticPr fontId="1" type="noConversion"/>
  </si>
  <si>
    <t>生物质热</t>
    <phoneticPr fontId="1" type="noConversion"/>
  </si>
  <si>
    <t>其他可再生电</t>
    <phoneticPr fontId="1" type="noConversion"/>
  </si>
  <si>
    <t>其他可再生热</t>
    <phoneticPr fontId="1" type="noConversion"/>
  </si>
  <si>
    <t>水能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</si>
</sst>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0_ "/>
    <numFmt numFmtId="178" formatCode="0.00000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49" fontId="4" fillId="0" borderId="10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176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176" fontId="4" fillId="0" borderId="0" xfId="0" applyNumberFormat="1" applyFont="1" applyAlignment="1">
      <alignment horizontal="right" vertical="center"/>
    </xf>
    <xf numFmtId="176" fontId="4" fillId="0" borderId="3" xfId="0" applyNumberFormat="1" applyFont="1" applyBorder="1" applyAlignment="1">
      <alignment horizontal="right" vertical="center"/>
    </xf>
    <xf numFmtId="176" fontId="4" fillId="0" borderId="5" xfId="0" applyNumberFormat="1" applyFont="1" applyBorder="1" applyAlignment="1">
      <alignment horizontal="right" vertical="center"/>
    </xf>
    <xf numFmtId="176" fontId="4" fillId="0" borderId="7" xfId="0" applyNumberFormat="1" applyFont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176" fontId="0" fillId="0" borderId="0" xfId="0" applyNumberFormat="1"/>
    <xf numFmtId="176" fontId="4" fillId="0" borderId="10" xfId="0" applyNumberFormat="1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left" vertical="center" wrapText="1"/>
    </xf>
    <xf numFmtId="176" fontId="4" fillId="0" borderId="0" xfId="0" applyNumberFormat="1" applyFont="1" applyAlignment="1">
      <alignment horizontal="left" vertical="center" wrapText="1"/>
    </xf>
    <xf numFmtId="176" fontId="4" fillId="0" borderId="2" xfId="0" applyNumberFormat="1" applyFont="1" applyBorder="1" applyAlignment="1">
      <alignment horizontal="left" vertical="center" wrapText="1"/>
    </xf>
    <xf numFmtId="176" fontId="4" fillId="0" borderId="3" xfId="0" applyNumberFormat="1" applyFont="1" applyBorder="1" applyAlignment="1">
      <alignment horizontal="left" vertical="center" wrapText="1"/>
    </xf>
    <xf numFmtId="176" fontId="4" fillId="0" borderId="4" xfId="0" applyNumberFormat="1" applyFont="1" applyBorder="1" applyAlignment="1">
      <alignment horizontal="left" vertical="center" wrapText="1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2" xfId="0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177" fontId="0" fillId="0" borderId="0" xfId="0" applyNumberFormat="1"/>
    <xf numFmtId="178" fontId="0" fillId="0" borderId="0" xfId="0" applyNumberFormat="1"/>
    <xf numFmtId="0" fontId="7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176" fontId="4" fillId="0" borderId="9" xfId="0" applyNumberFormat="1" applyFont="1" applyBorder="1" applyAlignment="1">
      <alignment horizontal="center" vertical="center" wrapText="1"/>
    </xf>
    <xf numFmtId="176" fontId="4" fillId="0" borderId="11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 wrapText="1"/>
    </xf>
    <xf numFmtId="176" fontId="4" fillId="0" borderId="8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AD7A-E8A4-464A-8D4B-67424DED4001}">
  <dimension ref="A1:J18"/>
  <sheetViews>
    <sheetView tabSelected="1" workbookViewId="0">
      <selection activeCell="A16" sqref="A16:XFD16"/>
    </sheetView>
  </sheetViews>
  <sheetFormatPr defaultRowHeight="14" x14ac:dyDescent="0.3"/>
  <cols>
    <col min="1" max="1" width="31" customWidth="1"/>
    <col min="2" max="2" width="13.6640625" customWidth="1"/>
    <col min="9" max="9" width="9.25" customWidth="1"/>
    <col min="10" max="10" width="12.33203125" customWidth="1"/>
    <col min="12" max="12" width="9.1640625" bestFit="1" customWidth="1"/>
    <col min="32" max="32" width="17.58203125" customWidth="1"/>
    <col min="33" max="33" width="8.6640625" customWidth="1"/>
    <col min="36" max="36" width="13.4140625" customWidth="1"/>
    <col min="37" max="38" width="12.9140625" customWidth="1"/>
  </cols>
  <sheetData>
    <row r="1" spans="1:10" x14ac:dyDescent="0.3">
      <c r="B1" t="s">
        <v>0</v>
      </c>
      <c r="C1" t="s">
        <v>1</v>
      </c>
      <c r="D1" t="s">
        <v>3</v>
      </c>
      <c r="E1" t="s">
        <v>306</v>
      </c>
      <c r="F1" t="s">
        <v>34</v>
      </c>
      <c r="G1" t="s">
        <v>32</v>
      </c>
      <c r="H1" t="s">
        <v>31</v>
      </c>
      <c r="I1" t="s">
        <v>33</v>
      </c>
      <c r="J1" t="s">
        <v>237</v>
      </c>
    </row>
    <row r="2" spans="1:10" x14ac:dyDescent="0.3">
      <c r="A2" s="1" t="s">
        <v>8</v>
      </c>
      <c r="B2">
        <v>2902.7246966973762</v>
      </c>
      <c r="C2">
        <v>2941.6461986907238</v>
      </c>
      <c r="D2">
        <v>75.296991034293541</v>
      </c>
      <c r="E2">
        <v>321.79028032511201</v>
      </c>
      <c r="F2">
        <v>118.020430300971</v>
      </c>
      <c r="G2">
        <v>88.330882349038149</v>
      </c>
      <c r="H2">
        <v>765.06707484443712</v>
      </c>
      <c r="I2">
        <v>70.656883962013097</v>
      </c>
      <c r="J2">
        <v>0.70852486923082059</v>
      </c>
    </row>
    <row r="3" spans="1:10" x14ac:dyDescent="0.3">
      <c r="A3" s="1" t="s">
        <v>9</v>
      </c>
      <c r="B3">
        <v>4798.8011163339997</v>
      </c>
      <c r="C3">
        <v>1271.8327748324</v>
      </c>
      <c r="D3">
        <v>1937.36218362471</v>
      </c>
      <c r="E3">
        <v>585.60080186000005</v>
      </c>
      <c r="F3">
        <v>220.124155195116</v>
      </c>
      <c r="G3">
        <v>161.39119297152004</v>
      </c>
      <c r="H3">
        <v>74.876060083600009</v>
      </c>
      <c r="I3">
        <v>146.012783785506</v>
      </c>
      <c r="J3">
        <v>6.2080672150799998</v>
      </c>
    </row>
    <row r="4" spans="1:10" x14ac:dyDescent="0.3">
      <c r="A4" s="1" t="s">
        <v>270</v>
      </c>
      <c r="B4">
        <v>2943.64588</v>
      </c>
      <c r="C4">
        <v>102.29330133333332</v>
      </c>
      <c r="D4">
        <v>1101.926974222222</v>
      </c>
      <c r="E4">
        <v>328.63414935999998</v>
      </c>
      <c r="F4">
        <v>107.14361111999997</v>
      </c>
      <c r="G4">
        <v>92.668346400000004</v>
      </c>
      <c r="H4">
        <v>321.95915200000002</v>
      </c>
      <c r="I4">
        <v>74.96287092</v>
      </c>
      <c r="J4">
        <v>20.733945600000002</v>
      </c>
    </row>
    <row r="5" spans="1:10" x14ac:dyDescent="0.3">
      <c r="A5" s="1" t="s">
        <v>271</v>
      </c>
      <c r="B5">
        <v>2498.11168</v>
      </c>
      <c r="C5">
        <v>146.64378133333329</v>
      </c>
      <c r="D5">
        <v>1089.8531386666668</v>
      </c>
      <c r="E5">
        <v>471.10338896000002</v>
      </c>
      <c r="F5">
        <v>153.57060431999994</v>
      </c>
      <c r="G5">
        <v>132.36450239999999</v>
      </c>
      <c r="H5">
        <v>150.00967200000002</v>
      </c>
      <c r="I5">
        <v>106.47126711999999</v>
      </c>
      <c r="J5">
        <v>28.594561600000006</v>
      </c>
    </row>
    <row r="6" spans="1:10" x14ac:dyDescent="0.3">
      <c r="A6" s="1" t="s">
        <v>281</v>
      </c>
      <c r="B6">
        <v>1909.2291500000001</v>
      </c>
      <c r="C6">
        <v>119.92335666666671</v>
      </c>
      <c r="D6">
        <v>541.60793777777803</v>
      </c>
      <c r="E6">
        <v>267.97497629999998</v>
      </c>
      <c r="F6">
        <v>98.838357099999996</v>
      </c>
      <c r="G6">
        <v>80.553684000000004</v>
      </c>
      <c r="H6">
        <v>212.04221000000001</v>
      </c>
      <c r="I6">
        <v>66.334334850000005</v>
      </c>
      <c r="J6">
        <v>20.524173000000001</v>
      </c>
    </row>
    <row r="7" spans="1:10" x14ac:dyDescent="0.3">
      <c r="A7" s="1" t="s">
        <v>279</v>
      </c>
      <c r="B7">
        <v>197.86079999999998</v>
      </c>
      <c r="C7">
        <v>30.27948</v>
      </c>
      <c r="D7">
        <v>270.24383111111109</v>
      </c>
      <c r="E7">
        <v>48.467319600000003</v>
      </c>
      <c r="F7">
        <v>16.610353199999999</v>
      </c>
      <c r="G7">
        <v>13.303656000000002</v>
      </c>
      <c r="H7">
        <v>19.275520000000004</v>
      </c>
      <c r="I7">
        <v>10.593656200000002</v>
      </c>
      <c r="J7">
        <v>0.60991600000000001</v>
      </c>
    </row>
    <row r="8" spans="1:10" x14ac:dyDescent="0.3">
      <c r="A8" s="1" t="s">
        <v>277</v>
      </c>
      <c r="B8">
        <v>33255.359129999997</v>
      </c>
      <c r="C8">
        <v>27082.456918000003</v>
      </c>
      <c r="D8">
        <v>9391.0351075555591</v>
      </c>
      <c r="E8">
        <v>2189.75327586</v>
      </c>
      <c r="F8">
        <v>719.61156161999975</v>
      </c>
      <c r="G8">
        <v>657.09350640000002</v>
      </c>
      <c r="H8">
        <v>836.87570199999993</v>
      </c>
      <c r="I8">
        <v>550.35937267000008</v>
      </c>
      <c r="J8">
        <v>224.31126060000003</v>
      </c>
    </row>
    <row r="9" spans="1:10" x14ac:dyDescent="0.3">
      <c r="A9" s="1" t="s">
        <v>15</v>
      </c>
      <c r="B9">
        <v>28797.92323</v>
      </c>
      <c r="C9">
        <v>3474.5265446666699</v>
      </c>
      <c r="D9">
        <v>2989.1358808888899</v>
      </c>
      <c r="E9">
        <v>905.34625505999998</v>
      </c>
      <c r="F9">
        <v>299.99204801999997</v>
      </c>
      <c r="G9">
        <v>238.11147240000003</v>
      </c>
      <c r="H9">
        <v>182.19184200000004</v>
      </c>
      <c r="I9">
        <v>170.09046506999999</v>
      </c>
      <c r="J9">
        <v>5.7217425999999998</v>
      </c>
    </row>
    <row r="10" spans="1:10" x14ac:dyDescent="0.3">
      <c r="A10" s="1" t="s">
        <v>274</v>
      </c>
      <c r="B10">
        <v>86246.667419999998</v>
      </c>
      <c r="C10">
        <v>625.69594533333304</v>
      </c>
      <c r="D10">
        <v>4249.0672568888904</v>
      </c>
      <c r="E10">
        <v>3476.1931772399998</v>
      </c>
      <c r="F10">
        <v>1261.0532610800001</v>
      </c>
      <c r="G10">
        <v>945.15533759999994</v>
      </c>
      <c r="H10">
        <v>445.33146800000003</v>
      </c>
      <c r="I10">
        <v>701.99435177999999</v>
      </c>
      <c r="J10">
        <v>41.454440400000003</v>
      </c>
    </row>
    <row r="11" spans="1:10" x14ac:dyDescent="0.3">
      <c r="A11" s="1" t="s">
        <v>272</v>
      </c>
      <c r="B11">
        <v>4839.5902299999998</v>
      </c>
      <c r="C11">
        <v>256.99184466666696</v>
      </c>
      <c r="D11">
        <v>1931.7783031111101</v>
      </c>
      <c r="E11">
        <v>1237.2508960600001</v>
      </c>
      <c r="F11">
        <v>420.59414501999993</v>
      </c>
      <c r="G11">
        <v>333.97586640000003</v>
      </c>
      <c r="H11">
        <v>150.68664200000001</v>
      </c>
      <c r="I11">
        <v>244.67480456999999</v>
      </c>
      <c r="J11">
        <v>8.3636026000000001</v>
      </c>
    </row>
    <row r="12" spans="1:10" x14ac:dyDescent="0.3">
      <c r="A12" s="1" t="s">
        <v>18</v>
      </c>
      <c r="B12">
        <v>966.34822000000008</v>
      </c>
      <c r="C12">
        <v>31.901458666666699</v>
      </c>
      <c r="D12">
        <v>279.61355466666663</v>
      </c>
      <c r="E12">
        <v>152.06485584000004</v>
      </c>
      <c r="F12">
        <v>52.114517279999987</v>
      </c>
      <c r="G12">
        <v>41.128215600000011</v>
      </c>
      <c r="H12">
        <v>22.524588000000001</v>
      </c>
      <c r="I12">
        <v>32.200368480000002</v>
      </c>
      <c r="J12">
        <v>0.41449639999999999</v>
      </c>
    </row>
    <row r="13" spans="1:10" x14ac:dyDescent="0.3">
      <c r="A13" s="1" t="s">
        <v>19</v>
      </c>
      <c r="B13">
        <v>84731.844710000005</v>
      </c>
      <c r="C13">
        <v>112.8563393333333</v>
      </c>
      <c r="D13">
        <v>3017.4254284444401</v>
      </c>
      <c r="E13">
        <v>23066.932127619999</v>
      </c>
      <c r="F13">
        <v>5248.0435935400001</v>
      </c>
      <c r="G13">
        <v>4755.1400708000001</v>
      </c>
      <c r="H13">
        <v>3145.8508340000003</v>
      </c>
      <c r="I13">
        <v>2251.20524639</v>
      </c>
      <c r="J13">
        <v>1234.0376602000001</v>
      </c>
    </row>
    <row r="14" spans="1:10" x14ac:dyDescent="0.3">
      <c r="A14" s="1" t="s">
        <v>20</v>
      </c>
      <c r="B14">
        <v>1303.4893320608003</v>
      </c>
      <c r="C14">
        <v>6217.1227443648795</v>
      </c>
      <c r="D14">
        <v>88.184076306986711</v>
      </c>
      <c r="E14">
        <v>225.23461688279761</v>
      </c>
      <c r="F14">
        <v>77.190704379079193</v>
      </c>
      <c r="G14">
        <v>61.512338362824011</v>
      </c>
      <c r="H14">
        <v>55.501676104320005</v>
      </c>
      <c r="I14">
        <v>50.124767623897206</v>
      </c>
      <c r="J14">
        <v>2.0704760252960002</v>
      </c>
    </row>
    <row r="15" spans="1:10" ht="12.5" customHeight="1" x14ac:dyDescent="0.3">
      <c r="A15" s="1" t="s">
        <v>22</v>
      </c>
      <c r="B15">
        <v>1622.1534572492999</v>
      </c>
      <c r="C15">
        <v>32202.016432445977</v>
      </c>
      <c r="D15">
        <v>4059.8446879851699</v>
      </c>
      <c r="E15">
        <v>390.05103700229466</v>
      </c>
      <c r="F15">
        <v>133.67534132492821</v>
      </c>
      <c r="G15">
        <v>106.71810507950401</v>
      </c>
      <c r="H15">
        <v>2021.3856510322203</v>
      </c>
      <c r="I15">
        <v>83.400665761518695</v>
      </c>
      <c r="J15">
        <v>509.06066124816596</v>
      </c>
    </row>
    <row r="16" spans="1:10" x14ac:dyDescent="0.3">
      <c r="A16" s="1" t="s">
        <v>21</v>
      </c>
      <c r="B16">
        <v>3712.5226985419999</v>
      </c>
      <c r="C16">
        <v>1026.8978022612</v>
      </c>
      <c r="D16">
        <v>909.02796799235512</v>
      </c>
      <c r="E16">
        <v>534.38487977372404</v>
      </c>
      <c r="F16">
        <v>183.14034427810799</v>
      </c>
      <c r="G16">
        <v>147.96638691216</v>
      </c>
      <c r="H16">
        <v>133.52417400680002</v>
      </c>
      <c r="I16">
        <v>133.66565934717801</v>
      </c>
      <c r="J16">
        <v>9.8732865040399993</v>
      </c>
    </row>
    <row r="17" spans="1:10" x14ac:dyDescent="0.3">
      <c r="A17" s="1" t="s">
        <v>23</v>
      </c>
      <c r="B17">
        <v>7196.7100972997996</v>
      </c>
      <c r="C17">
        <v>5530.2498439302799</v>
      </c>
      <c r="D17">
        <v>1127.7415651436979</v>
      </c>
      <c r="E17">
        <v>1369.1495143628556</v>
      </c>
      <c r="F17">
        <v>486.22456626166502</v>
      </c>
      <c r="G17">
        <v>377.20868831774402</v>
      </c>
      <c r="H17">
        <v>426.20259817492007</v>
      </c>
      <c r="I17">
        <v>284.06154859504801</v>
      </c>
      <c r="J17">
        <v>20.647979611476003</v>
      </c>
    </row>
    <row r="18" spans="1:10" x14ac:dyDescent="0.3">
      <c r="A18" s="1" t="s">
        <v>25</v>
      </c>
      <c r="B18">
        <v>16712.309876751402</v>
      </c>
      <c r="C18">
        <v>13813.545636198041</v>
      </c>
      <c r="D18">
        <v>8396.9915782118896</v>
      </c>
      <c r="E18">
        <v>2488.3623904217102</v>
      </c>
      <c r="F18">
        <v>885.65711635724404</v>
      </c>
      <c r="G18">
        <v>707.81014439179216</v>
      </c>
      <c r="H18">
        <v>3010.4631341655599</v>
      </c>
      <c r="I18">
        <v>546.28506701081301</v>
      </c>
      <c r="J18">
        <v>125.07427702666801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>
      <selection activeCell="A7" sqref="A7:XFD7"/>
    </sheetView>
  </sheetViews>
  <sheetFormatPr defaultRowHeight="14" x14ac:dyDescent="0.3"/>
  <cols>
    <col min="1" max="1" width="37.83203125" customWidth="1"/>
    <col min="2" max="2" width="10.08203125" customWidth="1"/>
    <col min="3" max="3" width="9.1640625" bestFit="1" customWidth="1"/>
    <col min="8" max="8" width="9.1640625" bestFit="1" customWidth="1"/>
  </cols>
  <sheetData>
    <row r="1" spans="1:7" x14ac:dyDescent="0.3">
      <c r="B1" t="s">
        <v>0</v>
      </c>
      <c r="C1" t="s">
        <v>1</v>
      </c>
      <c r="D1" t="s">
        <v>3</v>
      </c>
      <c r="E1" t="s">
        <v>5</v>
      </c>
      <c r="F1" t="s">
        <v>6</v>
      </c>
      <c r="G1" t="s">
        <v>7</v>
      </c>
    </row>
    <row r="2" spans="1:7" x14ac:dyDescent="0.3">
      <c r="A2" s="1" t="s">
        <v>8</v>
      </c>
      <c r="B2">
        <v>1805.61184</v>
      </c>
      <c r="C2">
        <v>2940.903984</v>
      </c>
      <c r="D2">
        <v>15.384055555555557</v>
      </c>
      <c r="E2">
        <v>1785.5584079578405</v>
      </c>
      <c r="F2">
        <v>3.9306755598000001</v>
      </c>
      <c r="G2">
        <v>732.85300000000007</v>
      </c>
    </row>
    <row r="3" spans="1:7" x14ac:dyDescent="0.3">
      <c r="A3" s="1" t="s">
        <v>9</v>
      </c>
      <c r="B3">
        <v>2691.0540000000001</v>
      </c>
      <c r="C3">
        <v>1250.7750000000001</v>
      </c>
      <c r="D3">
        <v>1789.82111111111</v>
      </c>
      <c r="E3">
        <v>3249.4911107908219</v>
      </c>
      <c r="F3">
        <v>210.23291399999999</v>
      </c>
      <c r="G3">
        <v>10.835000000000001</v>
      </c>
    </row>
    <row r="4" spans="1:7" x14ac:dyDescent="0.3">
      <c r="A4" s="1" t="s">
        <v>10</v>
      </c>
      <c r="B4">
        <v>1372.8330000000001</v>
      </c>
      <c r="C4">
        <v>21.358333333333299</v>
      </c>
      <c r="D4">
        <v>884.17222222222199</v>
      </c>
      <c r="E4">
        <v>1718.2864954000001</v>
      </c>
      <c r="F4">
        <v>830.23818000000017</v>
      </c>
      <c r="G4">
        <v>267.08</v>
      </c>
    </row>
    <row r="5" spans="1:7" x14ac:dyDescent="0.3">
      <c r="A5" s="1" t="s">
        <v>11</v>
      </c>
      <c r="B5">
        <v>275.858</v>
      </c>
      <c r="C5">
        <v>28.133333333333301</v>
      </c>
      <c r="D5">
        <v>786.73166666666668</v>
      </c>
      <c r="E5">
        <v>2462.6137644</v>
      </c>
      <c r="F5">
        <v>1150.6868319999999</v>
      </c>
      <c r="G5">
        <v>72.699000000000012</v>
      </c>
    </row>
    <row r="6" spans="1:7" x14ac:dyDescent="0.3">
      <c r="A6" s="1" t="s">
        <v>12</v>
      </c>
      <c r="B6">
        <v>471.25099999999998</v>
      </c>
      <c r="C6">
        <v>36.5416666666667</v>
      </c>
      <c r="D6">
        <v>332.94277777777802</v>
      </c>
      <c r="E6">
        <v>1486.5467632499999</v>
      </c>
      <c r="F6">
        <v>828.04597200000001</v>
      </c>
      <c r="G6">
        <v>161.70000000000002</v>
      </c>
    </row>
    <row r="7" spans="1:7" x14ac:dyDescent="0.3">
      <c r="A7" s="1" t="s">
        <v>13</v>
      </c>
      <c r="B7">
        <v>22.055</v>
      </c>
      <c r="C7">
        <v>28.15</v>
      </c>
      <c r="D7">
        <v>255.32111111111109</v>
      </c>
      <c r="E7">
        <v>264.438469</v>
      </c>
      <c r="F7">
        <v>23.386952000000001</v>
      </c>
      <c r="G7">
        <v>13.893000000000001</v>
      </c>
    </row>
    <row r="8" spans="1:7" x14ac:dyDescent="0.3">
      <c r="A8" s="1" t="s">
        <v>14</v>
      </c>
      <c r="B8">
        <v>20489.828000000001</v>
      </c>
      <c r="C8">
        <v>26188.65</v>
      </c>
      <c r="D8">
        <v>7168.0805555555598</v>
      </c>
      <c r="E8">
        <v>11518.96429915</v>
      </c>
      <c r="F8">
        <v>9175.1099800000011</v>
      </c>
      <c r="G8">
        <v>366.22300000000001</v>
      </c>
    </row>
    <row r="9" spans="1:7" x14ac:dyDescent="0.3">
      <c r="A9" s="1" t="s">
        <v>15</v>
      </c>
      <c r="B9">
        <v>25760.41</v>
      </c>
      <c r="C9">
        <v>3455.24166666667</v>
      </c>
      <c r="D9">
        <v>2798.09388888889</v>
      </c>
      <c r="E9">
        <v>4787.8425871499994</v>
      </c>
      <c r="F9">
        <v>170.11833799999997</v>
      </c>
      <c r="G9">
        <v>91.333000000000013</v>
      </c>
    </row>
    <row r="10" spans="1:7" x14ac:dyDescent="0.3">
      <c r="A10" s="1" t="s">
        <v>16</v>
      </c>
      <c r="B10">
        <v>73196</v>
      </c>
      <c r="C10">
        <v>481.933333333333</v>
      </c>
      <c r="D10">
        <v>3315.5188888888902</v>
      </c>
      <c r="E10">
        <v>19492.381516099998</v>
      </c>
      <c r="F10">
        <v>1441.8679200000001</v>
      </c>
      <c r="G10">
        <v>64.911000000000001</v>
      </c>
    </row>
    <row r="11" spans="1:7" x14ac:dyDescent="0.3">
      <c r="A11" s="1" t="s">
        <v>17</v>
      </c>
      <c r="B11">
        <v>572.06100000000004</v>
      </c>
      <c r="C11">
        <v>231.39166666666699</v>
      </c>
      <c r="D11">
        <v>1652.2011111111101</v>
      </c>
      <c r="E11">
        <v>6695.5792646499995</v>
      </c>
      <c r="F11">
        <v>249.78229200000004</v>
      </c>
      <c r="G11">
        <v>22.891000000000005</v>
      </c>
    </row>
    <row r="12" spans="1:7" x14ac:dyDescent="0.3">
      <c r="A12" s="1" t="s">
        <v>18</v>
      </c>
      <c r="B12">
        <v>453.73900000000003</v>
      </c>
      <c r="C12">
        <v>31.216666666666701</v>
      </c>
      <c r="D12">
        <v>251.06166666666664</v>
      </c>
      <c r="E12">
        <v>829.5308076</v>
      </c>
      <c r="F12">
        <v>5.3261339999999997</v>
      </c>
      <c r="G12">
        <v>7.4359999999999999</v>
      </c>
    </row>
    <row r="13" spans="1:7" x14ac:dyDescent="0.3">
      <c r="A13" s="1" t="s">
        <v>19</v>
      </c>
      <c r="B13">
        <v>79515</v>
      </c>
      <c r="C13">
        <v>62.258333333333297</v>
      </c>
      <c r="D13">
        <v>2638.4144444444401</v>
      </c>
      <c r="E13">
        <v>41601.048030550002</v>
      </c>
      <c r="F13">
        <v>3382.0332020000005</v>
      </c>
      <c r="G13">
        <v>364.58199999999999</v>
      </c>
    </row>
    <row r="14" spans="1:7" x14ac:dyDescent="0.3">
      <c r="A14" s="1" t="s">
        <v>20</v>
      </c>
      <c r="B14">
        <v>506.35563000000008</v>
      </c>
      <c r="C14">
        <v>6210.2823099999996</v>
      </c>
      <c r="D14">
        <v>34.241466666666703</v>
      </c>
      <c r="E14">
        <v>1230.2365191040142</v>
      </c>
      <c r="F14">
        <v>67.909806340200007</v>
      </c>
      <c r="G14">
        <v>31.405000000000005</v>
      </c>
    </row>
    <row r="15" spans="1:7" x14ac:dyDescent="0.3">
      <c r="A15" t="s">
        <v>286</v>
      </c>
      <c r="B15">
        <v>189.36093000000005</v>
      </c>
      <c r="C15">
        <v>32188.270058999999</v>
      </c>
      <c r="D15">
        <v>3962.6284944444501</v>
      </c>
      <c r="E15">
        <v>2233.0769687240313</v>
      </c>
      <c r="F15">
        <v>1135.8835869606</v>
      </c>
      <c r="G15">
        <v>1419.086</v>
      </c>
    </row>
    <row r="16" spans="1:7" x14ac:dyDescent="0.3">
      <c r="A16" s="1" t="s">
        <v>21</v>
      </c>
      <c r="B16">
        <v>1642.282874</v>
      </c>
      <c r="C16">
        <v>990.82464400000003</v>
      </c>
      <c r="D16">
        <v>741.35785555555503</v>
      </c>
      <c r="E16">
        <v>2980.5867554916099</v>
      </c>
      <c r="F16">
        <v>365.55107057039999</v>
      </c>
      <c r="G16">
        <v>70.400000000000006</v>
      </c>
    </row>
    <row r="17" spans="1:7" x14ac:dyDescent="0.3">
      <c r="A17" s="1" t="s">
        <v>23</v>
      </c>
      <c r="B17">
        <v>2071.5045580000001</v>
      </c>
      <c r="C17">
        <v>5456.4202889999997</v>
      </c>
      <c r="D17">
        <v>735.34057777777798</v>
      </c>
      <c r="E17">
        <v>7539.8526725345091</v>
      </c>
      <c r="F17">
        <v>745.02830438520004</v>
      </c>
      <c r="G17">
        <v>270.05</v>
      </c>
    </row>
    <row r="18" spans="1:7" x14ac:dyDescent="0.3">
      <c r="A18" s="1" t="s">
        <v>25</v>
      </c>
      <c r="B18">
        <v>5333.4895159999996</v>
      </c>
      <c r="C18">
        <v>13324.853703000001</v>
      </c>
      <c r="D18">
        <v>6938.7390333333296</v>
      </c>
      <c r="E18">
        <v>13453.434691690189</v>
      </c>
      <c r="F18">
        <v>5009.578276511601</v>
      </c>
      <c r="G18">
        <v>2626.404</v>
      </c>
    </row>
    <row r="19" spans="1:7" x14ac:dyDescent="0.3">
      <c r="B19">
        <v>216368.69434799999</v>
      </c>
      <c r="C19">
        <v>92927.204989000005</v>
      </c>
      <c r="D19">
        <v>34300.050927777775</v>
      </c>
      <c r="E19">
        <v>123329.46912354302</v>
      </c>
      <c r="F19">
        <v>24794.710436327801</v>
      </c>
      <c r="G19">
        <v>6593.7810000000009</v>
      </c>
    </row>
    <row r="21" spans="1:7" x14ac:dyDescent="0.3">
      <c r="A21" s="1"/>
    </row>
    <row r="22" spans="1:7" x14ac:dyDescent="0.3">
      <c r="A22" s="1"/>
    </row>
    <row r="23" spans="1:7" x14ac:dyDescent="0.3">
      <c r="A23" s="1"/>
    </row>
    <row r="24" spans="1:7" x14ac:dyDescent="0.3">
      <c r="A24" s="1"/>
    </row>
    <row r="25" spans="1:7" x14ac:dyDescent="0.3">
      <c r="A25" s="1"/>
    </row>
    <row r="26" spans="1:7" x14ac:dyDescent="0.3">
      <c r="A26" s="1"/>
    </row>
    <row r="27" spans="1:7" x14ac:dyDescent="0.3">
      <c r="A27" s="1"/>
    </row>
    <row r="28" spans="1:7" x14ac:dyDescent="0.3">
      <c r="A28" s="1"/>
    </row>
    <row r="29" spans="1:7" x14ac:dyDescent="0.3">
      <c r="A29" s="1"/>
    </row>
    <row r="30" spans="1:7" x14ac:dyDescent="0.3">
      <c r="A30" s="1"/>
    </row>
    <row r="31" spans="1:7" x14ac:dyDescent="0.3">
      <c r="A31" s="1"/>
    </row>
    <row r="32" spans="1:7" x14ac:dyDescent="0.3">
      <c r="A32" s="1"/>
    </row>
    <row r="33" spans="1:1" x14ac:dyDescent="0.3">
      <c r="A33" s="1"/>
    </row>
    <row r="35" spans="1:1" x14ac:dyDescent="0.3">
      <c r="A35" s="1"/>
    </row>
    <row r="36" spans="1:1" x14ac:dyDescent="0.3">
      <c r="A36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82815-6765-4615-87A3-02E366B40EB1}">
  <dimension ref="B1:W75"/>
  <sheetViews>
    <sheetView topLeftCell="B25" workbookViewId="0">
      <selection activeCell="L25" sqref="L25"/>
    </sheetView>
  </sheetViews>
  <sheetFormatPr defaultRowHeight="14" x14ac:dyDescent="0.3"/>
  <cols>
    <col min="2" max="2" width="44.33203125" bestFit="1" customWidth="1"/>
    <col min="3" max="3" width="12.08203125" customWidth="1"/>
    <col min="4" max="4" width="13.33203125" customWidth="1"/>
    <col min="5" max="5" width="9.4140625" customWidth="1"/>
    <col min="7" max="7" width="10.1640625" customWidth="1"/>
    <col min="10" max="10" width="9.5" bestFit="1" customWidth="1"/>
    <col min="14" max="14" width="9.58203125" customWidth="1"/>
    <col min="15" max="15" width="12.6640625" customWidth="1"/>
    <col min="16" max="22" width="11.33203125" customWidth="1"/>
    <col min="23" max="23" width="17.6640625" customWidth="1"/>
  </cols>
  <sheetData>
    <row r="1" spans="2:23" ht="38" customHeight="1" x14ac:dyDescent="0.3">
      <c r="C1" s="25" t="s">
        <v>161</v>
      </c>
      <c r="D1" s="26" t="s">
        <v>164</v>
      </c>
      <c r="E1" s="25" t="s">
        <v>3</v>
      </c>
      <c r="F1" s="25" t="s">
        <v>5</v>
      </c>
      <c r="G1" s="28" t="s">
        <v>0</v>
      </c>
      <c r="H1" s="29" t="s">
        <v>230</v>
      </c>
      <c r="I1" s="29" t="s">
        <v>231</v>
      </c>
      <c r="J1" s="29" t="s">
        <v>232</v>
      </c>
      <c r="K1" s="29" t="s">
        <v>233</v>
      </c>
      <c r="L1" s="29" t="s">
        <v>234</v>
      </c>
      <c r="M1" s="29" t="s">
        <v>235</v>
      </c>
      <c r="N1" s="29" t="s">
        <v>236</v>
      </c>
      <c r="O1" s="29" t="s">
        <v>237</v>
      </c>
      <c r="P1" s="25" t="s">
        <v>6</v>
      </c>
      <c r="Q1" s="25" t="s">
        <v>251</v>
      </c>
      <c r="R1" s="25" t="s">
        <v>230</v>
      </c>
      <c r="S1" s="25" t="s">
        <v>231</v>
      </c>
      <c r="T1" s="25" t="s">
        <v>265</v>
      </c>
      <c r="U1" s="25" t="s">
        <v>235</v>
      </c>
      <c r="V1" s="25" t="s">
        <v>237</v>
      </c>
      <c r="W1" s="25" t="s">
        <v>252</v>
      </c>
    </row>
    <row r="2" spans="2:23" s="37" customFormat="1" ht="38" customHeight="1" x14ac:dyDescent="0.3">
      <c r="B2" s="37" t="s">
        <v>167</v>
      </c>
      <c r="C2" s="29">
        <v>1632.3744000000002</v>
      </c>
      <c r="D2" s="39">
        <v>28803.940160999999</v>
      </c>
      <c r="E2" s="29">
        <v>16.289000000000001</v>
      </c>
      <c r="F2" s="29">
        <v>1747.7698717000001</v>
      </c>
      <c r="G2" s="29">
        <f>F2*0.607</f>
        <v>1060.8963121219001</v>
      </c>
      <c r="H2" s="29">
        <f>F2*0.0002</f>
        <v>0.34955397434000002</v>
      </c>
      <c r="I2" s="29">
        <f>F2*0.0328</f>
        <v>57.326851791760006</v>
      </c>
      <c r="J2" s="29">
        <v>310.57870620109003</v>
      </c>
      <c r="K2" s="29">
        <f>F2*0.048</f>
        <v>83.892953841600004</v>
      </c>
      <c r="L2" s="29">
        <f>0.0612*F2</f>
        <v>106.96351614804</v>
      </c>
      <c r="M2" s="29">
        <f>0.0342*F2</f>
        <v>59.773729612140002</v>
      </c>
      <c r="N2" s="29">
        <f>0.0178*F2</f>
        <v>31.110303716260002</v>
      </c>
      <c r="O2" s="29">
        <f>0.00034*F2</f>
        <v>0.59424175637800003</v>
      </c>
      <c r="P2" s="29">
        <v>3.8154489999999996</v>
      </c>
      <c r="Q2" s="38">
        <f>P2*0.7</f>
        <v>2.6708142999999995</v>
      </c>
      <c r="R2" s="38">
        <v>0</v>
      </c>
      <c r="S2" s="38">
        <f>P2*0.22</f>
        <v>0.8393987799999999</v>
      </c>
      <c r="T2" s="38">
        <f>P2*0.04</f>
        <v>0.15261796</v>
      </c>
      <c r="U2" s="38">
        <f>P2*0.015</f>
        <v>5.7231734999999992E-2</v>
      </c>
      <c r="V2" s="38">
        <f>P2*0.025</f>
        <v>9.5386224999999991E-2</v>
      </c>
      <c r="W2" s="29">
        <v>666.23</v>
      </c>
    </row>
    <row r="3" spans="2:23" x14ac:dyDescent="0.3">
      <c r="B3" s="1" t="s">
        <v>170</v>
      </c>
      <c r="C3">
        <v>113899.06</v>
      </c>
      <c r="D3">
        <v>34291.99</v>
      </c>
      <c r="E3">
        <v>20249.919999999998</v>
      </c>
      <c r="F3">
        <v>60368.43</v>
      </c>
      <c r="G3">
        <f t="shared" ref="G3:G60" si="0">F3*0.607</f>
        <v>36643.637009999999</v>
      </c>
      <c r="H3">
        <f t="shared" ref="H3:H60" si="1">F3*0.0002</f>
        <v>12.073686</v>
      </c>
      <c r="I3">
        <f t="shared" ref="I3:I60" si="2">F3*0.0328</f>
        <v>1980.0845040000002</v>
      </c>
      <c r="J3">
        <v>10727.470010999999</v>
      </c>
      <c r="K3">
        <f t="shared" ref="K3:K60" si="3">F3*0.048</f>
        <v>2897.6846399999999</v>
      </c>
      <c r="L3">
        <f t="shared" ref="L3:L60" si="4">0.0612*F3</f>
        <v>3694.547916</v>
      </c>
      <c r="M3">
        <f t="shared" ref="M3:M60" si="5">0.0342*F3</f>
        <v>2064.6003060000003</v>
      </c>
      <c r="N3">
        <f t="shared" ref="N3:N60" si="6">0.0178*F3</f>
        <v>1074.5580540000001</v>
      </c>
      <c r="O3">
        <f t="shared" ref="O3:O60" si="7">0.00034*F3</f>
        <v>20.525266200000001</v>
      </c>
      <c r="P3">
        <v>14056.59</v>
      </c>
      <c r="Q3">
        <f>P3*0.7</f>
        <v>9839.6129999999994</v>
      </c>
      <c r="R3">
        <v>0</v>
      </c>
      <c r="S3">
        <f>P3*0.22</f>
        <v>3092.4497999999999</v>
      </c>
      <c r="T3">
        <f>P3*0.04</f>
        <v>562.2636</v>
      </c>
      <c r="U3">
        <f>P3*0.015</f>
        <v>210.84885</v>
      </c>
      <c r="V3">
        <f>P3*0.025</f>
        <v>351.41475000000003</v>
      </c>
      <c r="W3">
        <v>990.53</v>
      </c>
    </row>
    <row r="4" spans="2:23" s="38" customFormat="1" x14ac:dyDescent="0.3">
      <c r="B4" s="37" t="s">
        <v>171</v>
      </c>
      <c r="C4" s="38">
        <v>2439.14</v>
      </c>
      <c r="D4" s="38">
        <v>1248.93</v>
      </c>
      <c r="E4" s="38">
        <v>1863.34</v>
      </c>
      <c r="F4" s="38">
        <v>3153.59</v>
      </c>
      <c r="G4" s="38">
        <f t="shared" si="0"/>
        <v>1914.2291299999999</v>
      </c>
      <c r="H4" s="38">
        <f t="shared" si="1"/>
        <v>0.63071800000000011</v>
      </c>
      <c r="I4" s="38">
        <f t="shared" si="2"/>
        <v>103.43775200000002</v>
      </c>
      <c r="J4" s="38">
        <v>560.39294300000006</v>
      </c>
      <c r="K4" s="38">
        <f t="shared" si="3"/>
        <v>151.37232</v>
      </c>
      <c r="L4" s="38">
        <f t="shared" si="4"/>
        <v>192.999708</v>
      </c>
      <c r="M4" s="38">
        <f t="shared" si="5"/>
        <v>107.85277800000001</v>
      </c>
      <c r="N4" s="38">
        <f t="shared" si="6"/>
        <v>56.133901999999999</v>
      </c>
      <c r="O4" s="38">
        <f t="shared" si="7"/>
        <v>1.0722206000000001</v>
      </c>
      <c r="P4" s="38">
        <v>204.07</v>
      </c>
      <c r="Q4" s="38">
        <f t="shared" ref="Q4:Q60" si="8">P4*0.7</f>
        <v>142.84899999999999</v>
      </c>
      <c r="R4" s="38">
        <v>0</v>
      </c>
      <c r="S4" s="38">
        <f t="shared" ref="S4:S60" si="9">P4*0.22</f>
        <v>44.895400000000002</v>
      </c>
      <c r="T4" s="38">
        <f t="shared" ref="T4:T60" si="10">P4*0.04</f>
        <v>8.1628000000000007</v>
      </c>
      <c r="U4" s="38">
        <f t="shared" ref="U4:U60" si="11">P4*0.015</f>
        <v>3.0610499999999998</v>
      </c>
      <c r="V4" s="38">
        <f t="shared" ref="V4:V60" si="12">P4*0.025</f>
        <v>5.10175</v>
      </c>
      <c r="W4" s="38">
        <v>9.85</v>
      </c>
    </row>
    <row r="5" spans="2:23" x14ac:dyDescent="0.3">
      <c r="B5" s="1" t="s">
        <v>172</v>
      </c>
      <c r="C5">
        <v>1722.38</v>
      </c>
      <c r="D5">
        <v>500.09</v>
      </c>
      <c r="E5">
        <v>137.27000000000001</v>
      </c>
      <c r="F5">
        <v>1116.93</v>
      </c>
      <c r="G5">
        <f t="shared" si="0"/>
        <v>677.97651000000008</v>
      </c>
      <c r="H5">
        <f t="shared" si="1"/>
        <v>0.22338600000000003</v>
      </c>
      <c r="I5">
        <f t="shared" si="2"/>
        <v>36.635304000000005</v>
      </c>
      <c r="J5">
        <v>198.47846100000001</v>
      </c>
      <c r="K5">
        <f t="shared" si="3"/>
        <v>53.612640000000006</v>
      </c>
      <c r="L5">
        <f t="shared" si="4"/>
        <v>68.356116</v>
      </c>
      <c r="M5">
        <f t="shared" si="5"/>
        <v>38.199006000000004</v>
      </c>
      <c r="N5">
        <f t="shared" si="6"/>
        <v>19.881354000000002</v>
      </c>
      <c r="O5">
        <f t="shared" si="7"/>
        <v>0.37975620000000004</v>
      </c>
      <c r="P5">
        <v>21.4</v>
      </c>
      <c r="Q5">
        <f t="shared" si="8"/>
        <v>14.979999999999999</v>
      </c>
      <c r="R5">
        <v>0</v>
      </c>
      <c r="S5">
        <f t="shared" si="9"/>
        <v>4.7079999999999993</v>
      </c>
      <c r="T5">
        <f t="shared" si="10"/>
        <v>0.85599999999999998</v>
      </c>
      <c r="U5">
        <f t="shared" si="11"/>
        <v>0.32099999999999995</v>
      </c>
      <c r="V5">
        <f t="shared" si="12"/>
        <v>0.53500000000000003</v>
      </c>
      <c r="W5">
        <v>1.1299999999999999</v>
      </c>
    </row>
    <row r="6" spans="2:23" x14ac:dyDescent="0.3">
      <c r="B6" s="1" t="s">
        <v>173</v>
      </c>
      <c r="C6">
        <v>49.1</v>
      </c>
      <c r="D6">
        <v>437.32</v>
      </c>
      <c r="E6">
        <v>1634.74</v>
      </c>
      <c r="F6">
        <v>569.42999999999995</v>
      </c>
      <c r="G6">
        <f t="shared" si="0"/>
        <v>345.64400999999998</v>
      </c>
      <c r="H6">
        <f t="shared" si="1"/>
        <v>0.113886</v>
      </c>
      <c r="I6">
        <f t="shared" si="2"/>
        <v>18.677303999999999</v>
      </c>
      <c r="J6">
        <v>101.18771099999999</v>
      </c>
      <c r="K6">
        <f t="shared" si="3"/>
        <v>27.332639999999998</v>
      </c>
      <c r="L6">
        <f t="shared" si="4"/>
        <v>34.849115999999995</v>
      </c>
      <c r="M6">
        <f t="shared" si="5"/>
        <v>19.474505999999998</v>
      </c>
      <c r="N6">
        <f t="shared" si="6"/>
        <v>10.135853999999998</v>
      </c>
      <c r="O6">
        <f t="shared" si="7"/>
        <v>0.19360620000000001</v>
      </c>
      <c r="P6">
        <v>91.57</v>
      </c>
      <c r="Q6">
        <f t="shared" si="8"/>
        <v>64.09899999999999</v>
      </c>
      <c r="R6">
        <v>0</v>
      </c>
      <c r="S6">
        <f t="shared" si="9"/>
        <v>20.145399999999999</v>
      </c>
      <c r="T6">
        <f t="shared" si="10"/>
        <v>3.6627999999999998</v>
      </c>
      <c r="U6">
        <f t="shared" si="11"/>
        <v>1.3735499999999998</v>
      </c>
      <c r="V6">
        <f t="shared" si="12"/>
        <v>2.28925</v>
      </c>
      <c r="W6">
        <v>0</v>
      </c>
    </row>
    <row r="7" spans="2:23" x14ac:dyDescent="0.3">
      <c r="B7" s="1" t="s">
        <v>174</v>
      </c>
      <c r="C7">
        <v>337.85</v>
      </c>
      <c r="D7">
        <v>52.16</v>
      </c>
      <c r="E7">
        <v>0.68</v>
      </c>
      <c r="F7">
        <v>549.9</v>
      </c>
      <c r="G7">
        <f t="shared" si="0"/>
        <v>333.78929999999997</v>
      </c>
      <c r="H7">
        <f t="shared" si="1"/>
        <v>0.10997999999999999</v>
      </c>
      <c r="I7">
        <f t="shared" si="2"/>
        <v>18.036720000000003</v>
      </c>
      <c r="J7">
        <v>97.717230000000001</v>
      </c>
      <c r="K7">
        <f t="shared" si="3"/>
        <v>26.395199999999999</v>
      </c>
      <c r="L7">
        <f t="shared" si="4"/>
        <v>33.653879999999994</v>
      </c>
      <c r="M7">
        <f t="shared" si="5"/>
        <v>18.80658</v>
      </c>
      <c r="N7">
        <f t="shared" si="6"/>
        <v>9.788219999999999</v>
      </c>
      <c r="O7">
        <f t="shared" si="7"/>
        <v>0.18696599999999999</v>
      </c>
      <c r="P7">
        <v>4.45</v>
      </c>
      <c r="Q7">
        <f t="shared" si="8"/>
        <v>3.1149999999999998</v>
      </c>
      <c r="R7">
        <v>0</v>
      </c>
      <c r="S7">
        <f t="shared" si="9"/>
        <v>0.97900000000000009</v>
      </c>
      <c r="T7">
        <f t="shared" si="10"/>
        <v>0.17800000000000002</v>
      </c>
      <c r="U7">
        <f t="shared" si="11"/>
        <v>6.6750000000000004E-2</v>
      </c>
      <c r="V7">
        <f t="shared" si="12"/>
        <v>0.11125000000000002</v>
      </c>
      <c r="W7">
        <v>2.39</v>
      </c>
    </row>
    <row r="8" spans="2:23" x14ac:dyDescent="0.3">
      <c r="B8" s="1" t="s">
        <v>175</v>
      </c>
      <c r="C8">
        <v>63.519999999999996</v>
      </c>
      <c r="D8">
        <v>27.94</v>
      </c>
      <c r="E8">
        <v>10.63</v>
      </c>
      <c r="F8">
        <v>404.92</v>
      </c>
      <c r="G8">
        <f t="shared" si="0"/>
        <v>245.78644</v>
      </c>
      <c r="H8">
        <f t="shared" si="1"/>
        <v>8.0984E-2</v>
      </c>
      <c r="I8">
        <f t="shared" si="2"/>
        <v>13.281376000000002</v>
      </c>
      <c r="J8">
        <v>71.954284000000001</v>
      </c>
      <c r="K8">
        <f t="shared" si="3"/>
        <v>19.436160000000001</v>
      </c>
      <c r="L8">
        <f t="shared" si="4"/>
        <v>24.781103999999999</v>
      </c>
      <c r="M8">
        <f t="shared" si="5"/>
        <v>13.848264</v>
      </c>
      <c r="N8">
        <f t="shared" si="6"/>
        <v>7.2075760000000004</v>
      </c>
      <c r="O8">
        <f t="shared" si="7"/>
        <v>0.13767280000000001</v>
      </c>
      <c r="P8">
        <v>0.01</v>
      </c>
      <c r="Q8">
        <f t="shared" si="8"/>
        <v>6.9999999999999993E-3</v>
      </c>
      <c r="R8">
        <v>0</v>
      </c>
      <c r="S8">
        <f t="shared" si="9"/>
        <v>2.2000000000000001E-3</v>
      </c>
      <c r="T8">
        <f t="shared" si="10"/>
        <v>4.0000000000000002E-4</v>
      </c>
      <c r="U8">
        <f t="shared" si="11"/>
        <v>1.4999999999999999E-4</v>
      </c>
      <c r="V8">
        <f t="shared" si="12"/>
        <v>2.5000000000000001E-4</v>
      </c>
      <c r="W8">
        <v>6.01</v>
      </c>
    </row>
    <row r="9" spans="2:23" x14ac:dyDescent="0.3">
      <c r="B9" s="1" t="s">
        <v>176</v>
      </c>
      <c r="C9">
        <v>257.56</v>
      </c>
      <c r="D9">
        <v>72.849999999999994</v>
      </c>
      <c r="E9">
        <v>41.269999999999996</v>
      </c>
      <c r="F9">
        <v>277.38</v>
      </c>
      <c r="G9">
        <f t="shared" si="0"/>
        <v>168.36965999999998</v>
      </c>
      <c r="H9">
        <f t="shared" si="1"/>
        <v>5.5476000000000004E-2</v>
      </c>
      <c r="I9">
        <f t="shared" si="2"/>
        <v>9.0980640000000008</v>
      </c>
      <c r="J9">
        <v>49.290425999999997</v>
      </c>
      <c r="K9">
        <f t="shared" si="3"/>
        <v>13.31424</v>
      </c>
      <c r="L9">
        <f t="shared" si="4"/>
        <v>16.975656000000001</v>
      </c>
      <c r="M9">
        <f t="shared" si="5"/>
        <v>9.4863960000000009</v>
      </c>
      <c r="N9">
        <f t="shared" si="6"/>
        <v>4.9373639999999996</v>
      </c>
      <c r="O9">
        <f t="shared" si="7"/>
        <v>9.430920000000001E-2</v>
      </c>
      <c r="P9">
        <v>78.069999999999993</v>
      </c>
      <c r="Q9">
        <f t="shared" si="8"/>
        <v>54.648999999999994</v>
      </c>
      <c r="R9">
        <v>0</v>
      </c>
      <c r="S9">
        <f t="shared" si="9"/>
        <v>17.1754</v>
      </c>
      <c r="T9">
        <f t="shared" si="10"/>
        <v>3.1227999999999998</v>
      </c>
      <c r="U9">
        <f t="shared" si="11"/>
        <v>1.1710499999999999</v>
      </c>
      <c r="V9">
        <f t="shared" si="12"/>
        <v>1.9517499999999999</v>
      </c>
      <c r="W9">
        <v>0.33</v>
      </c>
    </row>
    <row r="10" spans="2:23" x14ac:dyDescent="0.3">
      <c r="B10" s="1" t="s">
        <v>177</v>
      </c>
      <c r="C10">
        <v>2.52</v>
      </c>
      <c r="D10">
        <v>158.22999999999999</v>
      </c>
      <c r="E10">
        <v>38.770000000000003</v>
      </c>
      <c r="F10">
        <v>36.299999999999997</v>
      </c>
      <c r="G10">
        <f t="shared" si="0"/>
        <v>22.034099999999999</v>
      </c>
      <c r="H10">
        <f t="shared" si="1"/>
        <v>7.26E-3</v>
      </c>
      <c r="I10">
        <f t="shared" si="2"/>
        <v>1.1906399999999999</v>
      </c>
      <c r="J10">
        <v>6.4505099999999995</v>
      </c>
      <c r="K10">
        <f t="shared" si="3"/>
        <v>1.7423999999999999</v>
      </c>
      <c r="L10">
        <f t="shared" si="4"/>
        <v>2.2215599999999998</v>
      </c>
      <c r="M10">
        <f t="shared" si="5"/>
        <v>1.24146</v>
      </c>
      <c r="N10">
        <f t="shared" si="6"/>
        <v>0.64613999999999994</v>
      </c>
      <c r="O10">
        <f t="shared" si="7"/>
        <v>1.2342000000000001E-2</v>
      </c>
      <c r="P10">
        <v>8.56</v>
      </c>
      <c r="Q10">
        <f t="shared" si="8"/>
        <v>5.992</v>
      </c>
      <c r="R10">
        <v>0</v>
      </c>
      <c r="S10">
        <f t="shared" si="9"/>
        <v>1.8832000000000002</v>
      </c>
      <c r="T10">
        <f t="shared" si="10"/>
        <v>0.34240000000000004</v>
      </c>
      <c r="U10">
        <f t="shared" si="11"/>
        <v>0.12840000000000001</v>
      </c>
      <c r="V10">
        <f t="shared" si="12"/>
        <v>0.21400000000000002</v>
      </c>
      <c r="W10">
        <v>0</v>
      </c>
    </row>
    <row r="11" spans="2:23" x14ac:dyDescent="0.3">
      <c r="B11" s="1" t="s">
        <v>178</v>
      </c>
      <c r="C11">
        <v>6.21</v>
      </c>
      <c r="D11">
        <v>0.33</v>
      </c>
      <c r="E11">
        <v>0</v>
      </c>
      <c r="F11">
        <v>198.74</v>
      </c>
      <c r="G11">
        <f t="shared" si="0"/>
        <v>120.63518000000001</v>
      </c>
      <c r="H11">
        <f t="shared" si="1"/>
        <v>3.9748000000000006E-2</v>
      </c>
      <c r="I11">
        <f t="shared" si="2"/>
        <v>6.5186720000000005</v>
      </c>
      <c r="J11">
        <v>35.316098000000004</v>
      </c>
      <c r="K11">
        <f t="shared" si="3"/>
        <v>9.5395200000000013</v>
      </c>
      <c r="L11">
        <f t="shared" si="4"/>
        <v>12.162888000000001</v>
      </c>
      <c r="M11">
        <f t="shared" si="5"/>
        <v>6.7969080000000002</v>
      </c>
      <c r="N11">
        <f t="shared" si="6"/>
        <v>3.5375719999999999</v>
      </c>
      <c r="O11">
        <f t="shared" si="7"/>
        <v>6.7571600000000009E-2</v>
      </c>
      <c r="P11">
        <v>0</v>
      </c>
      <c r="Q11">
        <f t="shared" si="8"/>
        <v>0</v>
      </c>
      <c r="R11">
        <v>0</v>
      </c>
      <c r="S11">
        <f t="shared" si="9"/>
        <v>0</v>
      </c>
      <c r="T11">
        <f t="shared" si="10"/>
        <v>0</v>
      </c>
      <c r="U11">
        <f t="shared" si="11"/>
        <v>0</v>
      </c>
      <c r="V11">
        <f t="shared" si="12"/>
        <v>0</v>
      </c>
      <c r="W11">
        <v>0</v>
      </c>
    </row>
    <row r="12" spans="2:23" x14ac:dyDescent="0.3">
      <c r="B12" s="1" t="s">
        <v>179</v>
      </c>
      <c r="C12">
        <v>110971.82</v>
      </c>
      <c r="D12">
        <v>32982.75</v>
      </c>
      <c r="E12">
        <v>18181.2</v>
      </c>
      <c r="F12">
        <v>48979.8</v>
      </c>
      <c r="G12">
        <f t="shared" si="0"/>
        <v>29730.738600000001</v>
      </c>
      <c r="H12">
        <f t="shared" si="1"/>
        <v>9.7959600000000009</v>
      </c>
      <c r="I12">
        <f t="shared" si="2"/>
        <v>1606.5374400000003</v>
      </c>
      <c r="J12">
        <v>8703.7104600000002</v>
      </c>
      <c r="K12">
        <f t="shared" si="3"/>
        <v>2351.0304000000001</v>
      </c>
      <c r="L12">
        <f t="shared" si="4"/>
        <v>2997.56376</v>
      </c>
      <c r="M12">
        <f t="shared" si="5"/>
        <v>1675.1091600000002</v>
      </c>
      <c r="N12">
        <f t="shared" si="6"/>
        <v>871.84044000000006</v>
      </c>
      <c r="O12">
        <f t="shared" si="7"/>
        <v>16.653132000000003</v>
      </c>
      <c r="P12">
        <v>13363.01</v>
      </c>
      <c r="Q12">
        <f t="shared" si="8"/>
        <v>9354.107</v>
      </c>
      <c r="R12">
        <v>0</v>
      </c>
      <c r="S12">
        <f t="shared" si="9"/>
        <v>2939.8622</v>
      </c>
      <c r="T12">
        <f t="shared" si="10"/>
        <v>534.5204</v>
      </c>
      <c r="U12">
        <f t="shared" si="11"/>
        <v>200.44514999999998</v>
      </c>
      <c r="V12">
        <f t="shared" si="12"/>
        <v>334.07525000000004</v>
      </c>
      <c r="W12">
        <v>971.06</v>
      </c>
    </row>
    <row r="13" spans="2:23" x14ac:dyDescent="0.3">
      <c r="B13" s="1" t="s">
        <v>180</v>
      </c>
      <c r="C13">
        <v>578.35</v>
      </c>
      <c r="D13">
        <v>30.44</v>
      </c>
      <c r="E13">
        <v>383.13</v>
      </c>
      <c r="F13">
        <v>1035.3399999999999</v>
      </c>
      <c r="G13">
        <f t="shared" si="0"/>
        <v>628.45137999999997</v>
      </c>
      <c r="H13">
        <f t="shared" si="1"/>
        <v>0.207068</v>
      </c>
      <c r="I13">
        <f t="shared" si="2"/>
        <v>33.959152000000003</v>
      </c>
      <c r="J13">
        <v>183.97991799999997</v>
      </c>
      <c r="K13">
        <f t="shared" si="3"/>
        <v>49.69632</v>
      </c>
      <c r="L13">
        <f t="shared" si="4"/>
        <v>63.362807999999994</v>
      </c>
      <c r="M13">
        <f t="shared" si="5"/>
        <v>35.408628</v>
      </c>
      <c r="N13">
        <f t="shared" si="6"/>
        <v>18.429051999999999</v>
      </c>
      <c r="O13">
        <f t="shared" si="7"/>
        <v>0.35201559999999998</v>
      </c>
      <c r="P13">
        <v>297.8</v>
      </c>
      <c r="Q13">
        <f t="shared" si="8"/>
        <v>208.46</v>
      </c>
      <c r="R13">
        <v>0</v>
      </c>
      <c r="S13">
        <f t="shared" si="9"/>
        <v>65.516000000000005</v>
      </c>
      <c r="T13">
        <f t="shared" si="10"/>
        <v>11.912000000000001</v>
      </c>
      <c r="U13">
        <f t="shared" si="11"/>
        <v>4.4669999999999996</v>
      </c>
      <c r="V13">
        <f t="shared" si="12"/>
        <v>7.4450000000000003</v>
      </c>
      <c r="W13">
        <v>186.82</v>
      </c>
    </row>
    <row r="14" spans="2:23" x14ac:dyDescent="0.3">
      <c r="B14" s="1" t="s">
        <v>181</v>
      </c>
      <c r="C14">
        <v>409.42</v>
      </c>
      <c r="D14">
        <v>16.73</v>
      </c>
      <c r="E14">
        <v>334.19</v>
      </c>
      <c r="F14">
        <v>410.6</v>
      </c>
      <c r="G14">
        <f t="shared" si="0"/>
        <v>249.23420000000002</v>
      </c>
      <c r="H14">
        <f t="shared" si="1"/>
        <v>8.2120000000000012E-2</v>
      </c>
      <c r="I14">
        <f t="shared" si="2"/>
        <v>13.467680000000001</v>
      </c>
      <c r="J14">
        <v>72.963620000000006</v>
      </c>
      <c r="K14">
        <f t="shared" si="3"/>
        <v>19.7088</v>
      </c>
      <c r="L14">
        <f t="shared" si="4"/>
        <v>25.128720000000001</v>
      </c>
      <c r="M14">
        <f t="shared" si="5"/>
        <v>14.042520000000001</v>
      </c>
      <c r="N14">
        <f t="shared" si="6"/>
        <v>7.3086800000000007</v>
      </c>
      <c r="O14">
        <f t="shared" si="7"/>
        <v>0.13960400000000001</v>
      </c>
      <c r="P14">
        <v>299.93</v>
      </c>
      <c r="Q14">
        <f t="shared" si="8"/>
        <v>209.95099999999999</v>
      </c>
      <c r="R14">
        <v>0</v>
      </c>
      <c r="S14">
        <f t="shared" si="9"/>
        <v>65.9846</v>
      </c>
      <c r="T14">
        <f t="shared" si="10"/>
        <v>11.997200000000001</v>
      </c>
      <c r="U14">
        <f t="shared" si="11"/>
        <v>4.4989499999999998</v>
      </c>
      <c r="V14">
        <f t="shared" si="12"/>
        <v>7.4982500000000005</v>
      </c>
      <c r="W14">
        <v>38.619999999999997</v>
      </c>
    </row>
    <row r="15" spans="2:23" x14ac:dyDescent="0.3">
      <c r="B15" s="1" t="s">
        <v>182</v>
      </c>
      <c r="C15">
        <v>257.17</v>
      </c>
      <c r="D15">
        <v>8.66</v>
      </c>
      <c r="E15">
        <v>188.4</v>
      </c>
      <c r="F15">
        <v>216.38</v>
      </c>
      <c r="G15">
        <f t="shared" si="0"/>
        <v>131.34266</v>
      </c>
      <c r="H15">
        <f t="shared" si="1"/>
        <v>4.3276000000000002E-2</v>
      </c>
      <c r="I15">
        <f t="shared" si="2"/>
        <v>7.097264</v>
      </c>
      <c r="J15">
        <v>38.450725999999996</v>
      </c>
      <c r="K15">
        <f t="shared" si="3"/>
        <v>10.386240000000001</v>
      </c>
      <c r="L15">
        <f t="shared" si="4"/>
        <v>13.242455999999999</v>
      </c>
      <c r="M15">
        <f t="shared" si="5"/>
        <v>7.4001960000000002</v>
      </c>
      <c r="N15">
        <f t="shared" si="6"/>
        <v>3.8515639999999998</v>
      </c>
      <c r="O15">
        <f t="shared" si="7"/>
        <v>7.3569200000000001E-2</v>
      </c>
      <c r="P15">
        <v>200.84</v>
      </c>
      <c r="Q15">
        <f t="shared" si="8"/>
        <v>140.58799999999999</v>
      </c>
      <c r="R15">
        <v>0</v>
      </c>
      <c r="S15">
        <f t="shared" si="9"/>
        <v>44.184800000000003</v>
      </c>
      <c r="T15">
        <f t="shared" si="10"/>
        <v>8.0335999999999999</v>
      </c>
      <c r="U15">
        <f t="shared" si="11"/>
        <v>3.0125999999999999</v>
      </c>
      <c r="V15">
        <f t="shared" si="12"/>
        <v>5.0210000000000008</v>
      </c>
      <c r="W15">
        <v>15.13</v>
      </c>
    </row>
    <row r="16" spans="2:23" x14ac:dyDescent="0.3">
      <c r="B16" s="1" t="s">
        <v>183</v>
      </c>
      <c r="C16">
        <v>3.09</v>
      </c>
      <c r="D16">
        <v>1</v>
      </c>
      <c r="E16">
        <v>14.58</v>
      </c>
      <c r="F16">
        <v>62.52</v>
      </c>
      <c r="G16">
        <f t="shared" si="0"/>
        <v>37.949640000000002</v>
      </c>
      <c r="H16">
        <f t="shared" si="1"/>
        <v>1.2504000000000001E-2</v>
      </c>
      <c r="I16">
        <f t="shared" si="2"/>
        <v>2.0506560000000005</v>
      </c>
      <c r="J16">
        <v>11.109804</v>
      </c>
      <c r="K16">
        <f t="shared" si="3"/>
        <v>3.0009600000000001</v>
      </c>
      <c r="L16">
        <f t="shared" si="4"/>
        <v>3.8262239999999998</v>
      </c>
      <c r="M16">
        <f t="shared" si="5"/>
        <v>2.1381840000000003</v>
      </c>
      <c r="N16">
        <f t="shared" si="6"/>
        <v>1.1128560000000001</v>
      </c>
      <c r="O16">
        <f t="shared" si="7"/>
        <v>2.1256800000000003E-2</v>
      </c>
      <c r="P16">
        <v>7.33</v>
      </c>
      <c r="Q16">
        <f t="shared" si="8"/>
        <v>5.1309999999999993</v>
      </c>
      <c r="R16">
        <v>0</v>
      </c>
      <c r="S16">
        <f t="shared" si="9"/>
        <v>1.6126</v>
      </c>
      <c r="T16">
        <f t="shared" si="10"/>
        <v>0.29320000000000002</v>
      </c>
      <c r="U16">
        <f t="shared" si="11"/>
        <v>0.10994999999999999</v>
      </c>
      <c r="V16">
        <f t="shared" si="12"/>
        <v>0.18325000000000002</v>
      </c>
      <c r="W16">
        <v>2.23</v>
      </c>
    </row>
    <row r="17" spans="2:23" s="38" customFormat="1" x14ac:dyDescent="0.3">
      <c r="B17" s="37" t="s">
        <v>267</v>
      </c>
      <c r="C17" s="38">
        <f>SUM(C13:C16)</f>
        <v>1248.03</v>
      </c>
      <c r="D17" s="38">
        <f t="shared" ref="D17:W17" si="13">SUM(D13:D16)</f>
        <v>56.83</v>
      </c>
      <c r="E17" s="38">
        <f t="shared" si="13"/>
        <v>920.3</v>
      </c>
      <c r="F17" s="38">
        <f t="shared" si="13"/>
        <v>1724.8400000000001</v>
      </c>
      <c r="G17" s="38">
        <f t="shared" si="13"/>
        <v>1046.9778799999999</v>
      </c>
      <c r="H17" s="38">
        <f t="shared" si="13"/>
        <v>0.344968</v>
      </c>
      <c r="I17" s="38">
        <f t="shared" si="13"/>
        <v>56.574752000000011</v>
      </c>
      <c r="J17" s="38">
        <f t="shared" si="13"/>
        <v>306.50406799999996</v>
      </c>
      <c r="K17" s="38">
        <f t="shared" si="13"/>
        <v>82.792320000000004</v>
      </c>
      <c r="L17" s="38">
        <f t="shared" si="13"/>
        <v>105.56020799999999</v>
      </c>
      <c r="M17" s="38">
        <f t="shared" si="13"/>
        <v>58.989528000000007</v>
      </c>
      <c r="N17" s="38">
        <f t="shared" si="13"/>
        <v>30.702152000000002</v>
      </c>
      <c r="O17" s="38">
        <f t="shared" si="13"/>
        <v>0.58644560000000001</v>
      </c>
      <c r="P17" s="38">
        <f t="shared" si="13"/>
        <v>805.90000000000009</v>
      </c>
      <c r="Q17" s="38">
        <f t="shared" si="13"/>
        <v>564.13</v>
      </c>
      <c r="R17" s="38">
        <f t="shared" si="13"/>
        <v>0</v>
      </c>
      <c r="S17" s="38">
        <f t="shared" si="13"/>
        <v>177.298</v>
      </c>
      <c r="T17" s="38">
        <f t="shared" si="13"/>
        <v>32.236000000000004</v>
      </c>
      <c r="U17" s="38">
        <f t="shared" si="13"/>
        <v>12.088499999999998</v>
      </c>
      <c r="V17" s="38">
        <f t="shared" si="13"/>
        <v>20.147500000000001</v>
      </c>
      <c r="W17" s="38">
        <f t="shared" si="13"/>
        <v>242.79999999999998</v>
      </c>
    </row>
    <row r="18" spans="2:23" x14ac:dyDescent="0.3">
      <c r="B18" s="1" t="s">
        <v>184</v>
      </c>
      <c r="C18">
        <v>215.33</v>
      </c>
      <c r="D18">
        <v>17.34</v>
      </c>
      <c r="E18">
        <v>647.72</v>
      </c>
      <c r="F18">
        <v>2028.32</v>
      </c>
      <c r="G18">
        <f t="shared" si="0"/>
        <v>1231.1902399999999</v>
      </c>
      <c r="H18">
        <f t="shared" si="1"/>
        <v>0.40566400000000002</v>
      </c>
      <c r="I18">
        <f t="shared" si="2"/>
        <v>66.528896000000003</v>
      </c>
      <c r="J18">
        <v>360.43246399999998</v>
      </c>
      <c r="K18">
        <f t="shared" si="3"/>
        <v>97.359359999999995</v>
      </c>
      <c r="L18">
        <f t="shared" si="4"/>
        <v>124.13318399999999</v>
      </c>
      <c r="M18">
        <f t="shared" si="5"/>
        <v>69.368544</v>
      </c>
      <c r="N18">
        <f t="shared" si="6"/>
        <v>36.104095999999998</v>
      </c>
      <c r="O18">
        <f t="shared" si="7"/>
        <v>0.68962880000000004</v>
      </c>
      <c r="P18">
        <v>1092.9000000000001</v>
      </c>
      <c r="Q18">
        <f t="shared" si="8"/>
        <v>765.03</v>
      </c>
      <c r="R18">
        <v>0</v>
      </c>
      <c r="S18">
        <f t="shared" si="9"/>
        <v>240.43800000000002</v>
      </c>
      <c r="T18">
        <f t="shared" si="10"/>
        <v>43.716000000000001</v>
      </c>
      <c r="U18">
        <f t="shared" si="11"/>
        <v>16.3935</v>
      </c>
      <c r="V18">
        <f t="shared" si="12"/>
        <v>27.322500000000005</v>
      </c>
      <c r="W18">
        <v>52.08</v>
      </c>
    </row>
    <row r="19" spans="2:23" x14ac:dyDescent="0.3">
      <c r="B19" s="1" t="s">
        <v>185</v>
      </c>
      <c r="C19">
        <v>22.25</v>
      </c>
      <c r="D19">
        <v>8.19</v>
      </c>
      <c r="E19">
        <v>147.9</v>
      </c>
      <c r="F19">
        <v>270.68</v>
      </c>
      <c r="G19">
        <f t="shared" si="0"/>
        <v>164.30276000000001</v>
      </c>
      <c r="H19">
        <f t="shared" si="1"/>
        <v>5.4136000000000004E-2</v>
      </c>
      <c r="I19">
        <f t="shared" si="2"/>
        <v>8.8783040000000017</v>
      </c>
      <c r="J19">
        <v>48.099836000000003</v>
      </c>
      <c r="K19">
        <f t="shared" si="3"/>
        <v>12.99264</v>
      </c>
      <c r="L19">
        <f t="shared" si="4"/>
        <v>16.565615999999999</v>
      </c>
      <c r="M19">
        <f t="shared" si="5"/>
        <v>9.2572559999999999</v>
      </c>
      <c r="N19">
        <f t="shared" si="6"/>
        <v>4.8181039999999999</v>
      </c>
      <c r="O19">
        <f t="shared" si="7"/>
        <v>9.2031200000000007E-2</v>
      </c>
      <c r="P19">
        <v>10.96</v>
      </c>
      <c r="Q19">
        <f t="shared" si="8"/>
        <v>7.6719999999999997</v>
      </c>
      <c r="R19">
        <v>0</v>
      </c>
      <c r="S19">
        <f t="shared" si="9"/>
        <v>2.4112</v>
      </c>
      <c r="T19">
        <f t="shared" si="10"/>
        <v>0.43840000000000007</v>
      </c>
      <c r="U19">
        <f t="shared" si="11"/>
        <v>0.16440000000000002</v>
      </c>
      <c r="V19">
        <f t="shared" si="12"/>
        <v>0.27400000000000002</v>
      </c>
      <c r="W19">
        <v>6.26</v>
      </c>
    </row>
    <row r="20" spans="2:23" x14ac:dyDescent="0.3">
      <c r="B20" s="1" t="s">
        <v>186</v>
      </c>
      <c r="C20">
        <v>13.2</v>
      </c>
      <c r="D20">
        <v>4.63</v>
      </c>
      <c r="E20">
        <v>37.39</v>
      </c>
      <c r="F20">
        <v>173.24</v>
      </c>
      <c r="G20">
        <f t="shared" si="0"/>
        <v>105.15668000000001</v>
      </c>
      <c r="H20">
        <f t="shared" si="1"/>
        <v>3.4648000000000005E-2</v>
      </c>
      <c r="I20">
        <f t="shared" si="2"/>
        <v>5.6822720000000011</v>
      </c>
      <c r="J20">
        <v>30.784748</v>
      </c>
      <c r="K20">
        <f t="shared" si="3"/>
        <v>8.3155200000000011</v>
      </c>
      <c r="L20">
        <f t="shared" si="4"/>
        <v>10.602288</v>
      </c>
      <c r="M20">
        <f t="shared" si="5"/>
        <v>5.9248080000000005</v>
      </c>
      <c r="N20">
        <f t="shared" si="6"/>
        <v>3.083672</v>
      </c>
      <c r="O20">
        <f t="shared" si="7"/>
        <v>5.8901600000000005E-2</v>
      </c>
      <c r="P20">
        <v>6.3</v>
      </c>
      <c r="Q20">
        <f t="shared" si="8"/>
        <v>4.4099999999999993</v>
      </c>
      <c r="R20">
        <v>0</v>
      </c>
      <c r="S20">
        <f t="shared" si="9"/>
        <v>1.3859999999999999</v>
      </c>
      <c r="T20">
        <f t="shared" si="10"/>
        <v>0.252</v>
      </c>
      <c r="U20">
        <f t="shared" si="11"/>
        <v>9.4500000000000001E-2</v>
      </c>
      <c r="V20">
        <f t="shared" si="12"/>
        <v>0.1575</v>
      </c>
      <c r="W20">
        <v>7.75</v>
      </c>
    </row>
    <row r="21" spans="2:23" s="38" customFormat="1" x14ac:dyDescent="0.3">
      <c r="B21" s="37" t="s">
        <v>269</v>
      </c>
      <c r="C21" s="38">
        <f>SUM(C18:C20)</f>
        <v>250.78</v>
      </c>
      <c r="D21" s="38">
        <f t="shared" ref="D21:W21" si="14">SUM(D18:D20)</f>
        <v>30.16</v>
      </c>
      <c r="E21" s="38">
        <f t="shared" si="14"/>
        <v>833.01</v>
      </c>
      <c r="F21" s="38">
        <f t="shared" si="14"/>
        <v>2472.2399999999998</v>
      </c>
      <c r="G21" s="38">
        <f t="shared" si="14"/>
        <v>1500.64968</v>
      </c>
      <c r="H21" s="38">
        <f t="shared" si="14"/>
        <v>0.49444800000000005</v>
      </c>
      <c r="I21" s="38">
        <f t="shared" si="14"/>
        <v>81.089472000000001</v>
      </c>
      <c r="J21" s="38">
        <f t="shared" si="14"/>
        <v>439.31704799999994</v>
      </c>
      <c r="K21" s="38">
        <f t="shared" si="14"/>
        <v>118.66752</v>
      </c>
      <c r="L21" s="38">
        <f t="shared" si="14"/>
        <v>151.30108799999996</v>
      </c>
      <c r="M21" s="38">
        <f t="shared" si="14"/>
        <v>84.550607999999997</v>
      </c>
      <c r="N21" s="38">
        <f t="shared" si="14"/>
        <v>44.005871999999997</v>
      </c>
      <c r="O21" s="38">
        <f t="shared" si="14"/>
        <v>0.84056160000000002</v>
      </c>
      <c r="P21" s="38">
        <f t="shared" si="14"/>
        <v>1110.1600000000001</v>
      </c>
      <c r="Q21" s="38">
        <f t="shared" si="14"/>
        <v>777.11199999999997</v>
      </c>
      <c r="R21" s="38">
        <f t="shared" si="14"/>
        <v>0</v>
      </c>
      <c r="S21" s="38">
        <f t="shared" si="14"/>
        <v>244.23520000000002</v>
      </c>
      <c r="T21" s="38">
        <f t="shared" si="14"/>
        <v>44.406400000000005</v>
      </c>
      <c r="U21" s="38">
        <f t="shared" si="14"/>
        <v>16.6524</v>
      </c>
      <c r="V21" s="38">
        <f t="shared" si="14"/>
        <v>27.754000000000005</v>
      </c>
      <c r="W21" s="38">
        <f t="shared" si="14"/>
        <v>66.09</v>
      </c>
    </row>
    <row r="22" spans="2:23" x14ac:dyDescent="0.3">
      <c r="B22" s="1" t="s">
        <v>187</v>
      </c>
      <c r="C22">
        <v>25.93</v>
      </c>
      <c r="D22">
        <v>10.51</v>
      </c>
      <c r="E22">
        <v>39.92</v>
      </c>
      <c r="F22">
        <v>349.01</v>
      </c>
      <c r="G22">
        <f t="shared" si="0"/>
        <v>211.84906999999998</v>
      </c>
      <c r="H22">
        <f t="shared" si="1"/>
        <v>6.9802000000000003E-2</v>
      </c>
      <c r="I22">
        <f t="shared" si="2"/>
        <v>11.447528</v>
      </c>
      <c r="J22">
        <v>62.019076999999996</v>
      </c>
      <c r="K22">
        <f t="shared" si="3"/>
        <v>16.752479999999998</v>
      </c>
      <c r="L22">
        <f t="shared" si="4"/>
        <v>21.359411999999999</v>
      </c>
      <c r="M22">
        <f t="shared" si="5"/>
        <v>11.936142</v>
      </c>
      <c r="N22">
        <f t="shared" si="6"/>
        <v>6.2123780000000002</v>
      </c>
      <c r="O22">
        <f t="shared" si="7"/>
        <v>0.1186634</v>
      </c>
      <c r="P22">
        <v>23.67</v>
      </c>
      <c r="Q22">
        <f t="shared" si="8"/>
        <v>16.568999999999999</v>
      </c>
      <c r="R22">
        <v>0</v>
      </c>
      <c r="S22">
        <f t="shared" si="9"/>
        <v>5.2074000000000007</v>
      </c>
      <c r="T22">
        <f t="shared" si="10"/>
        <v>0.94680000000000009</v>
      </c>
      <c r="U22">
        <f t="shared" si="11"/>
        <v>0.35505000000000003</v>
      </c>
      <c r="V22">
        <f t="shared" si="12"/>
        <v>0.59175000000000011</v>
      </c>
      <c r="W22">
        <v>81.03</v>
      </c>
    </row>
    <row r="23" spans="2:23" x14ac:dyDescent="0.3">
      <c r="B23" s="1" t="s">
        <v>188</v>
      </c>
      <c r="C23">
        <v>1.5599999999999998</v>
      </c>
      <c r="D23">
        <v>5.67</v>
      </c>
      <c r="E23">
        <v>21.36</v>
      </c>
      <c r="F23">
        <v>148.38999999999999</v>
      </c>
      <c r="G23">
        <f t="shared" si="0"/>
        <v>90.072729999999993</v>
      </c>
      <c r="H23">
        <f t="shared" si="1"/>
        <v>2.9678E-2</v>
      </c>
      <c r="I23">
        <f t="shared" si="2"/>
        <v>4.8671920000000002</v>
      </c>
      <c r="J23">
        <v>26.368902999999996</v>
      </c>
      <c r="K23">
        <f t="shared" si="3"/>
        <v>7.1227199999999993</v>
      </c>
      <c r="L23">
        <f t="shared" si="4"/>
        <v>9.0814679999999992</v>
      </c>
      <c r="M23">
        <f t="shared" si="5"/>
        <v>5.0749379999999995</v>
      </c>
      <c r="N23">
        <f t="shared" si="6"/>
        <v>2.6413419999999999</v>
      </c>
      <c r="O23">
        <f t="shared" si="7"/>
        <v>5.04526E-2</v>
      </c>
      <c r="P23">
        <v>2.6</v>
      </c>
      <c r="Q23">
        <f t="shared" si="8"/>
        <v>1.8199999999999998</v>
      </c>
      <c r="R23">
        <v>0</v>
      </c>
      <c r="S23">
        <f t="shared" si="9"/>
        <v>0.57200000000000006</v>
      </c>
      <c r="T23">
        <f t="shared" si="10"/>
        <v>0.10400000000000001</v>
      </c>
      <c r="U23">
        <f t="shared" si="11"/>
        <v>3.9E-2</v>
      </c>
      <c r="V23">
        <f t="shared" si="12"/>
        <v>6.5000000000000002E-2</v>
      </c>
      <c r="W23">
        <v>3.13</v>
      </c>
    </row>
    <row r="24" spans="2:23" x14ac:dyDescent="0.3">
      <c r="B24" s="1" t="s">
        <v>189</v>
      </c>
      <c r="C24">
        <v>400.91999999999996</v>
      </c>
      <c r="D24">
        <v>22.87</v>
      </c>
      <c r="E24">
        <v>271.13</v>
      </c>
      <c r="F24">
        <v>981.05</v>
      </c>
      <c r="G24">
        <f t="shared" si="0"/>
        <v>595.49734999999998</v>
      </c>
      <c r="H24">
        <f t="shared" si="1"/>
        <v>0.19621</v>
      </c>
      <c r="I24">
        <f t="shared" si="2"/>
        <v>32.178440000000002</v>
      </c>
      <c r="J24">
        <v>174.33258499999999</v>
      </c>
      <c r="K24">
        <f t="shared" si="3"/>
        <v>47.090399999999995</v>
      </c>
      <c r="L24">
        <f t="shared" si="4"/>
        <v>60.040259999999996</v>
      </c>
      <c r="M24">
        <f t="shared" si="5"/>
        <v>33.551909999999999</v>
      </c>
      <c r="N24">
        <f t="shared" si="6"/>
        <v>17.462689999999998</v>
      </c>
      <c r="O24">
        <f t="shared" si="7"/>
        <v>0.33355699999999999</v>
      </c>
      <c r="P24">
        <v>774.59</v>
      </c>
      <c r="Q24">
        <f t="shared" si="8"/>
        <v>542.21299999999997</v>
      </c>
      <c r="R24">
        <v>0</v>
      </c>
      <c r="S24">
        <f t="shared" si="9"/>
        <v>170.40980000000002</v>
      </c>
      <c r="T24">
        <f t="shared" si="10"/>
        <v>30.983600000000003</v>
      </c>
      <c r="U24">
        <f t="shared" si="11"/>
        <v>11.61885</v>
      </c>
      <c r="V24">
        <f t="shared" si="12"/>
        <v>19.364750000000001</v>
      </c>
      <c r="W24">
        <v>62.84</v>
      </c>
    </row>
    <row r="25" spans="2:23" s="38" customFormat="1" x14ac:dyDescent="0.3">
      <c r="B25" s="37" t="s">
        <v>281</v>
      </c>
      <c r="C25" s="38">
        <f>SUM(C22:C24)</f>
        <v>428.40999999999997</v>
      </c>
      <c r="D25" s="38">
        <f t="shared" ref="D25:W25" si="15">SUM(D22:D24)</f>
        <v>39.049999999999997</v>
      </c>
      <c r="E25" s="38">
        <f t="shared" si="15"/>
        <v>332.40999999999997</v>
      </c>
      <c r="F25" s="38">
        <f t="shared" si="15"/>
        <v>1478.4499999999998</v>
      </c>
      <c r="G25" s="38">
        <f t="shared" si="15"/>
        <v>897.41914999999995</v>
      </c>
      <c r="H25" s="38">
        <f t="shared" si="15"/>
        <v>0.29569000000000001</v>
      </c>
      <c r="I25" s="38">
        <f t="shared" si="15"/>
        <v>48.493160000000003</v>
      </c>
      <c r="J25" s="38">
        <f t="shared" si="15"/>
        <v>262.72056499999997</v>
      </c>
      <c r="K25" s="38">
        <f t="shared" si="15"/>
        <v>70.965599999999995</v>
      </c>
      <c r="L25" s="38">
        <f t="shared" si="15"/>
        <v>90.481139999999996</v>
      </c>
      <c r="M25" s="38">
        <f t="shared" si="15"/>
        <v>50.562989999999999</v>
      </c>
      <c r="N25" s="38">
        <f t="shared" si="15"/>
        <v>26.316409999999998</v>
      </c>
      <c r="O25" s="38">
        <f t="shared" si="15"/>
        <v>0.50267299999999993</v>
      </c>
      <c r="P25" s="38">
        <f t="shared" si="15"/>
        <v>800.86</v>
      </c>
      <c r="Q25" s="38">
        <f t="shared" si="15"/>
        <v>560.60199999999998</v>
      </c>
      <c r="R25" s="38">
        <f t="shared" si="15"/>
        <v>0</v>
      </c>
      <c r="S25" s="38">
        <f t="shared" si="15"/>
        <v>176.18920000000003</v>
      </c>
      <c r="T25" s="38">
        <f t="shared" si="15"/>
        <v>32.034400000000005</v>
      </c>
      <c r="U25" s="38">
        <f t="shared" si="15"/>
        <v>12.0129</v>
      </c>
      <c r="V25" s="38">
        <f t="shared" si="15"/>
        <v>20.0215</v>
      </c>
      <c r="W25" s="38">
        <f t="shared" si="15"/>
        <v>147</v>
      </c>
    </row>
    <row r="26" spans="2:23" x14ac:dyDescent="0.3">
      <c r="B26" s="1" t="s">
        <v>190</v>
      </c>
      <c r="C26">
        <v>11.989999999999998</v>
      </c>
      <c r="D26">
        <v>10.029999999999999</v>
      </c>
      <c r="E26">
        <v>60.050000000000004</v>
      </c>
      <c r="F26">
        <v>162.88</v>
      </c>
      <c r="G26">
        <f t="shared" si="0"/>
        <v>98.868159999999989</v>
      </c>
      <c r="H26">
        <f t="shared" si="1"/>
        <v>3.2576000000000001E-2</v>
      </c>
      <c r="I26">
        <f t="shared" si="2"/>
        <v>5.3424640000000005</v>
      </c>
      <c r="J26">
        <v>28.943776</v>
      </c>
      <c r="K26">
        <f t="shared" si="3"/>
        <v>7.8182400000000003</v>
      </c>
      <c r="L26">
        <f t="shared" si="4"/>
        <v>9.9682559999999985</v>
      </c>
      <c r="M26">
        <f t="shared" si="5"/>
        <v>5.5704960000000003</v>
      </c>
      <c r="N26">
        <f t="shared" si="6"/>
        <v>2.8992640000000001</v>
      </c>
      <c r="O26">
        <f t="shared" si="7"/>
        <v>5.5379200000000003E-2</v>
      </c>
      <c r="P26">
        <v>17.09</v>
      </c>
      <c r="Q26">
        <f t="shared" si="8"/>
        <v>11.962999999999999</v>
      </c>
      <c r="R26">
        <v>0</v>
      </c>
      <c r="S26">
        <f t="shared" si="9"/>
        <v>3.7597999999999998</v>
      </c>
      <c r="T26">
        <f t="shared" si="10"/>
        <v>0.68359999999999999</v>
      </c>
      <c r="U26">
        <f t="shared" si="11"/>
        <v>0.25634999999999997</v>
      </c>
      <c r="V26">
        <f t="shared" si="12"/>
        <v>0.42725000000000002</v>
      </c>
      <c r="W26">
        <v>7.32</v>
      </c>
    </row>
    <row r="27" spans="2:23" x14ac:dyDescent="0.3">
      <c r="B27" s="1" t="s">
        <v>191</v>
      </c>
      <c r="C27">
        <v>8.06</v>
      </c>
      <c r="D27">
        <v>20.149999999999999</v>
      </c>
      <c r="E27">
        <v>210.29</v>
      </c>
      <c r="F27">
        <v>104.52</v>
      </c>
      <c r="G27">
        <f t="shared" si="0"/>
        <v>63.443639999999995</v>
      </c>
      <c r="H27">
        <f t="shared" si="1"/>
        <v>2.0903999999999999E-2</v>
      </c>
      <c r="I27">
        <f t="shared" si="2"/>
        <v>3.4282560000000002</v>
      </c>
      <c r="J27">
        <v>18.573204</v>
      </c>
      <c r="K27">
        <f t="shared" si="3"/>
        <v>5.0169600000000001</v>
      </c>
      <c r="L27">
        <f t="shared" si="4"/>
        <v>6.3966239999999992</v>
      </c>
      <c r="M27">
        <f t="shared" si="5"/>
        <v>3.5745840000000002</v>
      </c>
      <c r="N27">
        <f t="shared" si="6"/>
        <v>1.8604559999999999</v>
      </c>
      <c r="O27">
        <f t="shared" si="7"/>
        <v>3.55368E-2</v>
      </c>
      <c r="P27">
        <v>3.67</v>
      </c>
      <c r="Q27">
        <f t="shared" si="8"/>
        <v>2.569</v>
      </c>
      <c r="R27">
        <v>0</v>
      </c>
      <c r="S27">
        <f t="shared" si="9"/>
        <v>0.80740000000000001</v>
      </c>
      <c r="T27">
        <f t="shared" si="10"/>
        <v>0.14680000000000001</v>
      </c>
      <c r="U27">
        <f t="shared" si="11"/>
        <v>5.5049999999999995E-2</v>
      </c>
      <c r="V27">
        <f t="shared" si="12"/>
        <v>9.1749999999999998E-2</v>
      </c>
      <c r="W27">
        <v>5.31</v>
      </c>
    </row>
    <row r="28" spans="2:23" s="38" customFormat="1" x14ac:dyDescent="0.3">
      <c r="B28" s="37" t="s">
        <v>279</v>
      </c>
      <c r="C28" s="38">
        <f>SUM(C26:C27)</f>
        <v>20.049999999999997</v>
      </c>
      <c r="D28" s="38">
        <f t="shared" ref="D28:W28" si="16">SUM(D26:D27)</f>
        <v>30.18</v>
      </c>
      <c r="E28" s="38">
        <f t="shared" si="16"/>
        <v>270.33999999999997</v>
      </c>
      <c r="F28" s="38">
        <f t="shared" si="16"/>
        <v>267.39999999999998</v>
      </c>
      <c r="G28" s="38">
        <f t="shared" si="16"/>
        <v>162.31179999999998</v>
      </c>
      <c r="H28" s="38">
        <f t="shared" si="16"/>
        <v>5.348E-2</v>
      </c>
      <c r="I28" s="38">
        <f t="shared" si="16"/>
        <v>8.7707200000000007</v>
      </c>
      <c r="J28" s="38">
        <f t="shared" si="16"/>
        <v>47.516980000000004</v>
      </c>
      <c r="K28" s="38">
        <f t="shared" si="16"/>
        <v>12.8352</v>
      </c>
      <c r="L28" s="38">
        <f t="shared" si="16"/>
        <v>16.364879999999999</v>
      </c>
      <c r="M28" s="38">
        <f t="shared" si="16"/>
        <v>9.1450800000000001</v>
      </c>
      <c r="N28" s="38">
        <f t="shared" si="16"/>
        <v>4.7597199999999997</v>
      </c>
      <c r="O28" s="38">
        <f t="shared" si="16"/>
        <v>9.0915999999999997E-2</v>
      </c>
      <c r="P28" s="38">
        <f t="shared" si="16"/>
        <v>20.759999999999998</v>
      </c>
      <c r="Q28" s="38">
        <f t="shared" si="16"/>
        <v>14.532</v>
      </c>
      <c r="R28" s="38">
        <f t="shared" si="16"/>
        <v>0</v>
      </c>
      <c r="S28" s="38">
        <f t="shared" si="16"/>
        <v>4.5671999999999997</v>
      </c>
      <c r="T28" s="38">
        <f t="shared" si="16"/>
        <v>0.83040000000000003</v>
      </c>
      <c r="U28" s="38">
        <f t="shared" si="16"/>
        <v>0.31139999999999995</v>
      </c>
      <c r="V28" s="38">
        <f t="shared" si="16"/>
        <v>0.51900000000000002</v>
      </c>
      <c r="W28" s="38">
        <f t="shared" si="16"/>
        <v>12.629999999999999</v>
      </c>
    </row>
    <row r="29" spans="2:23" x14ac:dyDescent="0.3">
      <c r="B29" s="1" t="s">
        <v>192</v>
      </c>
      <c r="C29">
        <v>3025.96</v>
      </c>
      <c r="D29">
        <v>16377.38</v>
      </c>
      <c r="E29">
        <v>1360.72</v>
      </c>
      <c r="F29">
        <v>1577.18</v>
      </c>
      <c r="G29">
        <f t="shared" si="0"/>
        <v>957.34825999999998</v>
      </c>
      <c r="H29">
        <f t="shared" si="1"/>
        <v>0.31543600000000005</v>
      </c>
      <c r="I29">
        <f t="shared" si="2"/>
        <v>51.731504000000008</v>
      </c>
      <c r="J29">
        <v>280.26488599999999</v>
      </c>
      <c r="K29">
        <f t="shared" si="3"/>
        <v>75.704639999999998</v>
      </c>
      <c r="L29">
        <f t="shared" si="4"/>
        <v>96.523415999999997</v>
      </c>
      <c r="M29">
        <f t="shared" si="5"/>
        <v>53.939556000000003</v>
      </c>
      <c r="N29">
        <f t="shared" si="6"/>
        <v>28.073804000000003</v>
      </c>
      <c r="O29">
        <f t="shared" si="7"/>
        <v>0.53624120000000008</v>
      </c>
      <c r="P29">
        <v>2266.33</v>
      </c>
      <c r="Q29">
        <f t="shared" si="8"/>
        <v>1586.4309999999998</v>
      </c>
      <c r="R29">
        <v>0</v>
      </c>
      <c r="S29">
        <f t="shared" si="9"/>
        <v>498.5926</v>
      </c>
      <c r="T29">
        <f t="shared" si="10"/>
        <v>90.653199999999998</v>
      </c>
      <c r="U29">
        <f t="shared" si="11"/>
        <v>33.994949999999996</v>
      </c>
      <c r="V29">
        <f t="shared" si="12"/>
        <v>56.658250000000002</v>
      </c>
      <c r="W29">
        <v>52.1</v>
      </c>
    </row>
    <row r="30" spans="2:23" x14ac:dyDescent="0.3">
      <c r="B30" s="1" t="s">
        <v>193</v>
      </c>
      <c r="C30">
        <v>14582.94</v>
      </c>
      <c r="D30">
        <v>11992.61</v>
      </c>
      <c r="E30">
        <v>5402.99</v>
      </c>
      <c r="F30">
        <v>7105.02</v>
      </c>
      <c r="G30">
        <f t="shared" si="0"/>
        <v>4312.7471400000004</v>
      </c>
      <c r="H30">
        <f t="shared" si="1"/>
        <v>1.4210040000000002</v>
      </c>
      <c r="I30">
        <f t="shared" si="2"/>
        <v>233.04465600000003</v>
      </c>
      <c r="J30">
        <v>1262.562054</v>
      </c>
      <c r="K30">
        <f t="shared" si="3"/>
        <v>341.04096000000004</v>
      </c>
      <c r="L30">
        <f t="shared" si="4"/>
        <v>434.827224</v>
      </c>
      <c r="M30">
        <f t="shared" si="5"/>
        <v>242.99168400000002</v>
      </c>
      <c r="N30">
        <f t="shared" si="6"/>
        <v>126.469356</v>
      </c>
      <c r="O30">
        <f t="shared" si="7"/>
        <v>2.4157068000000002</v>
      </c>
      <c r="P30">
        <v>5687.64</v>
      </c>
      <c r="Q30">
        <f t="shared" si="8"/>
        <v>3981.348</v>
      </c>
      <c r="R30">
        <v>0</v>
      </c>
      <c r="S30">
        <f t="shared" si="9"/>
        <v>1251.2808</v>
      </c>
      <c r="T30">
        <f t="shared" si="10"/>
        <v>227.50560000000002</v>
      </c>
      <c r="U30">
        <f t="shared" si="11"/>
        <v>85.314599999999999</v>
      </c>
      <c r="V30">
        <f t="shared" si="12"/>
        <v>142.191</v>
      </c>
      <c r="W30">
        <v>232.29</v>
      </c>
    </row>
    <row r="31" spans="2:23" x14ac:dyDescent="0.3">
      <c r="B31" s="1" t="s">
        <v>194</v>
      </c>
      <c r="C31">
        <v>306.55</v>
      </c>
      <c r="D31">
        <v>14.35</v>
      </c>
      <c r="E31">
        <v>246.17000000000002</v>
      </c>
      <c r="F31">
        <v>529.03</v>
      </c>
      <c r="G31">
        <f t="shared" si="0"/>
        <v>321.12120999999996</v>
      </c>
      <c r="H31">
        <f t="shared" si="1"/>
        <v>0.105806</v>
      </c>
      <c r="I31">
        <f t="shared" si="2"/>
        <v>17.352184000000001</v>
      </c>
      <c r="J31">
        <v>94.008630999999994</v>
      </c>
      <c r="K31">
        <f t="shared" si="3"/>
        <v>25.393439999999998</v>
      </c>
      <c r="L31">
        <f t="shared" si="4"/>
        <v>32.376635999999998</v>
      </c>
      <c r="M31">
        <f t="shared" si="5"/>
        <v>18.092825999999999</v>
      </c>
      <c r="N31">
        <f t="shared" si="6"/>
        <v>9.4167339999999999</v>
      </c>
      <c r="O31">
        <f t="shared" si="7"/>
        <v>0.17987020000000001</v>
      </c>
      <c r="P31">
        <v>376.85</v>
      </c>
      <c r="Q31">
        <f t="shared" si="8"/>
        <v>263.79500000000002</v>
      </c>
      <c r="R31">
        <v>0</v>
      </c>
      <c r="S31">
        <f t="shared" si="9"/>
        <v>82.907000000000011</v>
      </c>
      <c r="T31">
        <f t="shared" si="10"/>
        <v>15.074000000000002</v>
      </c>
      <c r="U31">
        <f t="shared" si="11"/>
        <v>5.6527500000000002</v>
      </c>
      <c r="V31">
        <f t="shared" si="12"/>
        <v>9.4212500000000006</v>
      </c>
      <c r="W31">
        <v>19.899999999999999</v>
      </c>
    </row>
    <row r="32" spans="2:23" x14ac:dyDescent="0.3">
      <c r="B32" s="1" t="s">
        <v>195</v>
      </c>
      <c r="C32">
        <v>380.84000000000003</v>
      </c>
      <c r="D32">
        <v>3.49</v>
      </c>
      <c r="E32">
        <v>233.01</v>
      </c>
      <c r="F32">
        <v>553.5</v>
      </c>
      <c r="G32">
        <f t="shared" si="0"/>
        <v>335.97449999999998</v>
      </c>
      <c r="H32">
        <f t="shared" si="1"/>
        <v>0.11070000000000001</v>
      </c>
      <c r="I32">
        <f t="shared" si="2"/>
        <v>18.154800000000002</v>
      </c>
      <c r="J32">
        <v>98.356949999999998</v>
      </c>
      <c r="K32">
        <f t="shared" si="3"/>
        <v>26.568000000000001</v>
      </c>
      <c r="L32">
        <f t="shared" si="4"/>
        <v>33.874200000000002</v>
      </c>
      <c r="M32">
        <f t="shared" si="5"/>
        <v>18.9297</v>
      </c>
      <c r="N32">
        <f t="shared" si="6"/>
        <v>9.8522999999999996</v>
      </c>
      <c r="O32">
        <f t="shared" si="7"/>
        <v>0.18819000000000002</v>
      </c>
      <c r="P32">
        <v>377.49</v>
      </c>
      <c r="Q32">
        <f t="shared" si="8"/>
        <v>264.24299999999999</v>
      </c>
      <c r="R32">
        <v>0</v>
      </c>
      <c r="S32">
        <f t="shared" si="9"/>
        <v>83.047800000000009</v>
      </c>
      <c r="T32">
        <f t="shared" si="10"/>
        <v>15.099600000000001</v>
      </c>
      <c r="U32">
        <f t="shared" si="11"/>
        <v>5.66235</v>
      </c>
      <c r="V32">
        <f t="shared" si="12"/>
        <v>9.4372500000000006</v>
      </c>
      <c r="W32">
        <v>14.79</v>
      </c>
    </row>
    <row r="33" spans="2:23" x14ac:dyDescent="0.3">
      <c r="B33" s="1" t="s">
        <v>196</v>
      </c>
      <c r="C33">
        <v>167.19</v>
      </c>
      <c r="D33">
        <v>38.549999999999997</v>
      </c>
      <c r="E33">
        <v>240.96</v>
      </c>
      <c r="F33">
        <v>1819.86</v>
      </c>
      <c r="G33">
        <f t="shared" si="0"/>
        <v>1104.6550199999999</v>
      </c>
      <c r="H33">
        <f t="shared" si="1"/>
        <v>0.36397200000000002</v>
      </c>
      <c r="I33">
        <f t="shared" si="2"/>
        <v>59.691408000000003</v>
      </c>
      <c r="J33">
        <v>323.38912199999999</v>
      </c>
      <c r="K33">
        <f t="shared" si="3"/>
        <v>87.353279999999998</v>
      </c>
      <c r="L33">
        <f t="shared" si="4"/>
        <v>111.37543199999999</v>
      </c>
      <c r="M33">
        <f t="shared" si="5"/>
        <v>62.239212000000002</v>
      </c>
      <c r="N33">
        <f t="shared" si="6"/>
        <v>32.393507999999997</v>
      </c>
      <c r="O33">
        <f t="shared" si="7"/>
        <v>0.61875239999999998</v>
      </c>
      <c r="P33">
        <v>106.59</v>
      </c>
      <c r="Q33">
        <f t="shared" si="8"/>
        <v>74.613</v>
      </c>
      <c r="R33">
        <v>0</v>
      </c>
      <c r="S33">
        <f t="shared" si="9"/>
        <v>23.4498</v>
      </c>
      <c r="T33">
        <f t="shared" si="10"/>
        <v>4.2636000000000003</v>
      </c>
      <c r="U33">
        <f t="shared" si="11"/>
        <v>1.5988499999999999</v>
      </c>
      <c r="V33">
        <f t="shared" si="12"/>
        <v>2.6647500000000002</v>
      </c>
      <c r="W33">
        <v>13.85</v>
      </c>
    </row>
    <row r="34" spans="2:23" s="38" customFormat="1" x14ac:dyDescent="0.3">
      <c r="B34" s="37" t="s">
        <v>277</v>
      </c>
      <c r="C34" s="38">
        <f>SUM(C29:C33)</f>
        <v>18463.48</v>
      </c>
      <c r="D34" s="38">
        <f t="shared" ref="D34:W34" si="17">SUM(D29:D33)</f>
        <v>28426.379999999997</v>
      </c>
      <c r="E34" s="38">
        <f t="shared" si="17"/>
        <v>7483.85</v>
      </c>
      <c r="F34" s="38">
        <f t="shared" si="17"/>
        <v>11584.590000000002</v>
      </c>
      <c r="G34" s="38">
        <f t="shared" si="17"/>
        <v>7031.8461300000008</v>
      </c>
      <c r="H34" s="38">
        <f t="shared" si="17"/>
        <v>2.3169180000000003</v>
      </c>
      <c r="I34" s="38">
        <f t="shared" si="17"/>
        <v>379.97455200000013</v>
      </c>
      <c r="J34" s="38">
        <f t="shared" si="17"/>
        <v>2058.581643</v>
      </c>
      <c r="K34" s="38">
        <f t="shared" si="17"/>
        <v>556.06032000000005</v>
      </c>
      <c r="L34" s="38">
        <f t="shared" si="17"/>
        <v>708.97690799999987</v>
      </c>
      <c r="M34" s="38">
        <f t="shared" si="17"/>
        <v>396.19297800000004</v>
      </c>
      <c r="N34" s="38">
        <f t="shared" si="17"/>
        <v>206.20570199999997</v>
      </c>
      <c r="O34" s="38">
        <f t="shared" si="17"/>
        <v>3.9387606000000002</v>
      </c>
      <c r="P34" s="38">
        <f t="shared" si="17"/>
        <v>8814.9</v>
      </c>
      <c r="Q34" s="38">
        <f t="shared" si="17"/>
        <v>6170.43</v>
      </c>
      <c r="R34" s="38">
        <f t="shared" si="17"/>
        <v>0</v>
      </c>
      <c r="S34" s="38">
        <f t="shared" si="17"/>
        <v>1939.278</v>
      </c>
      <c r="T34" s="38">
        <f t="shared" si="17"/>
        <v>352.59600000000006</v>
      </c>
      <c r="U34" s="38">
        <f t="shared" si="17"/>
        <v>132.2235</v>
      </c>
      <c r="V34" s="38">
        <f t="shared" si="17"/>
        <v>220.37250000000003</v>
      </c>
      <c r="W34" s="38">
        <f t="shared" si="17"/>
        <v>332.93</v>
      </c>
    </row>
    <row r="35" spans="2:23" s="38" customFormat="1" x14ac:dyDescent="0.3">
      <c r="B35" s="37" t="s">
        <v>15</v>
      </c>
      <c r="C35" s="38">
        <v>23273.1</v>
      </c>
      <c r="D35" s="38">
        <v>3619.49</v>
      </c>
      <c r="E35" s="38">
        <v>2888.57</v>
      </c>
      <c r="F35" s="38">
        <v>4829.3900000000003</v>
      </c>
      <c r="G35" s="38">
        <f t="shared" si="0"/>
        <v>2931.4397300000001</v>
      </c>
      <c r="H35" s="38">
        <f t="shared" si="1"/>
        <v>0.96587800000000013</v>
      </c>
      <c r="I35" s="38">
        <f t="shared" si="2"/>
        <v>158.40399200000002</v>
      </c>
      <c r="J35" s="38">
        <v>858.18260300000009</v>
      </c>
      <c r="K35" s="38">
        <f t="shared" si="3"/>
        <v>231.81072000000003</v>
      </c>
      <c r="L35" s="38">
        <f t="shared" si="4"/>
        <v>295.55866800000001</v>
      </c>
      <c r="M35" s="38">
        <f t="shared" si="5"/>
        <v>165.16513800000001</v>
      </c>
      <c r="N35" s="38">
        <f t="shared" si="6"/>
        <v>85.963142000000005</v>
      </c>
      <c r="O35" s="38">
        <f t="shared" si="7"/>
        <v>1.6419926000000002</v>
      </c>
      <c r="P35" s="38">
        <v>163.19</v>
      </c>
      <c r="Q35" s="38">
        <f t="shared" si="8"/>
        <v>114.23299999999999</v>
      </c>
      <c r="R35" s="38">
        <v>0</v>
      </c>
      <c r="S35" s="38">
        <f t="shared" si="9"/>
        <v>35.901800000000001</v>
      </c>
      <c r="T35" s="38">
        <f t="shared" si="10"/>
        <v>6.5275999999999996</v>
      </c>
      <c r="U35" s="38">
        <f t="shared" si="11"/>
        <v>2.4478499999999999</v>
      </c>
      <c r="V35" s="38">
        <f t="shared" si="12"/>
        <v>4.0797499999999998</v>
      </c>
      <c r="W35" s="38">
        <v>83.03</v>
      </c>
    </row>
    <row r="36" spans="2:23" x14ac:dyDescent="0.3">
      <c r="B36" s="1" t="s">
        <v>197</v>
      </c>
      <c r="C36">
        <v>62905.34</v>
      </c>
      <c r="D36">
        <v>105.13</v>
      </c>
      <c r="E36">
        <v>1834.52</v>
      </c>
      <c r="F36">
        <v>8339.4599999999991</v>
      </c>
      <c r="G36">
        <f t="shared" si="0"/>
        <v>5062.0522199999996</v>
      </c>
      <c r="H36">
        <f t="shared" si="1"/>
        <v>1.6678919999999999</v>
      </c>
      <c r="I36">
        <f t="shared" si="2"/>
        <v>273.534288</v>
      </c>
      <c r="J36">
        <v>1481.9220419999999</v>
      </c>
      <c r="K36">
        <f t="shared" si="3"/>
        <v>400.29407999999995</v>
      </c>
      <c r="L36">
        <f t="shared" si="4"/>
        <v>510.37495199999995</v>
      </c>
      <c r="M36">
        <f t="shared" si="5"/>
        <v>285.20953199999997</v>
      </c>
      <c r="N36">
        <f t="shared" si="6"/>
        <v>148.44238799999999</v>
      </c>
      <c r="O36">
        <f t="shared" si="7"/>
        <v>2.8354163999999997</v>
      </c>
      <c r="P36">
        <v>639.34</v>
      </c>
      <c r="Q36">
        <f t="shared" si="8"/>
        <v>447.53800000000001</v>
      </c>
      <c r="R36">
        <v>0</v>
      </c>
      <c r="S36">
        <f t="shared" si="9"/>
        <v>140.65479999999999</v>
      </c>
      <c r="T36">
        <f t="shared" si="10"/>
        <v>25.573600000000003</v>
      </c>
      <c r="U36">
        <f t="shared" si="11"/>
        <v>9.5900999999999996</v>
      </c>
      <c r="V36">
        <f t="shared" si="12"/>
        <v>15.983500000000001</v>
      </c>
      <c r="W36">
        <v>47.29</v>
      </c>
    </row>
    <row r="37" spans="2:23" x14ac:dyDescent="0.3">
      <c r="B37" s="1" t="s">
        <v>198</v>
      </c>
      <c r="C37">
        <v>2513.7200000000003</v>
      </c>
      <c r="D37">
        <v>356.9</v>
      </c>
      <c r="E37">
        <v>665.31</v>
      </c>
      <c r="F37">
        <v>8766.36</v>
      </c>
      <c r="G37">
        <f t="shared" si="0"/>
        <v>5321.1805199999999</v>
      </c>
      <c r="H37">
        <f t="shared" si="1"/>
        <v>1.7532720000000002</v>
      </c>
      <c r="I37">
        <f t="shared" si="2"/>
        <v>287.53660800000006</v>
      </c>
      <c r="J37">
        <v>1557.7821720000002</v>
      </c>
      <c r="K37">
        <f t="shared" si="3"/>
        <v>420.78528000000006</v>
      </c>
      <c r="L37">
        <f t="shared" si="4"/>
        <v>536.50123199999996</v>
      </c>
      <c r="M37">
        <f t="shared" si="5"/>
        <v>299.80951200000004</v>
      </c>
      <c r="N37">
        <f t="shared" si="6"/>
        <v>156.04120800000001</v>
      </c>
      <c r="O37">
        <f t="shared" si="7"/>
        <v>2.9805624000000006</v>
      </c>
      <c r="P37">
        <v>738.79</v>
      </c>
      <c r="Q37">
        <f t="shared" si="8"/>
        <v>517.15299999999991</v>
      </c>
      <c r="R37">
        <v>0</v>
      </c>
      <c r="S37">
        <f t="shared" si="9"/>
        <v>162.53379999999999</v>
      </c>
      <c r="T37">
        <f t="shared" si="10"/>
        <v>29.551600000000001</v>
      </c>
      <c r="U37">
        <f t="shared" si="11"/>
        <v>11.081849999999999</v>
      </c>
      <c r="V37">
        <f t="shared" si="12"/>
        <v>18.469750000000001</v>
      </c>
      <c r="W37">
        <v>7.08</v>
      </c>
    </row>
    <row r="38" spans="2:23" x14ac:dyDescent="0.3">
      <c r="B38" s="1" t="s">
        <v>199</v>
      </c>
      <c r="C38">
        <v>940.94</v>
      </c>
      <c r="D38">
        <v>44.29</v>
      </c>
      <c r="E38">
        <v>947.19</v>
      </c>
      <c r="F38">
        <v>1907.24</v>
      </c>
      <c r="G38">
        <f t="shared" si="0"/>
        <v>1157.6946800000001</v>
      </c>
      <c r="H38">
        <f t="shared" si="1"/>
        <v>0.38144800000000001</v>
      </c>
      <c r="I38">
        <f t="shared" si="2"/>
        <v>62.557472000000004</v>
      </c>
      <c r="J38">
        <v>338.91654799999998</v>
      </c>
      <c r="K38">
        <f t="shared" si="3"/>
        <v>91.547520000000006</v>
      </c>
      <c r="L38">
        <f t="shared" si="4"/>
        <v>116.72308799999999</v>
      </c>
      <c r="M38">
        <f t="shared" si="5"/>
        <v>65.227608000000004</v>
      </c>
      <c r="N38">
        <f t="shared" si="6"/>
        <v>33.948872000000001</v>
      </c>
      <c r="O38">
        <f t="shared" si="7"/>
        <v>0.64846160000000008</v>
      </c>
      <c r="P38">
        <v>21.47</v>
      </c>
      <c r="Q38">
        <f t="shared" si="8"/>
        <v>15.028999999999998</v>
      </c>
      <c r="R38">
        <v>0</v>
      </c>
      <c r="S38">
        <f t="shared" si="9"/>
        <v>4.7233999999999998</v>
      </c>
      <c r="T38">
        <f t="shared" si="10"/>
        <v>0.85880000000000001</v>
      </c>
      <c r="U38">
        <f t="shared" si="11"/>
        <v>0.32204999999999995</v>
      </c>
      <c r="V38">
        <f t="shared" si="12"/>
        <v>0.53674999999999995</v>
      </c>
      <c r="W38">
        <v>4.6399999999999997</v>
      </c>
    </row>
    <row r="39" spans="2:23" s="38" customFormat="1" x14ac:dyDescent="0.3">
      <c r="B39" s="37" t="s">
        <v>274</v>
      </c>
      <c r="C39" s="38">
        <f>SUM(C36:C38)</f>
        <v>66360</v>
      </c>
      <c r="D39" s="38">
        <f t="shared" ref="D39:W39" si="18">SUM(D36:D38)</f>
        <v>506.32</v>
      </c>
      <c r="E39" s="38">
        <f t="shared" si="18"/>
        <v>3447.02</v>
      </c>
      <c r="F39" s="38">
        <f t="shared" si="18"/>
        <v>19013.060000000001</v>
      </c>
      <c r="G39" s="38">
        <f t="shared" si="18"/>
        <v>11540.92742</v>
      </c>
      <c r="H39" s="38">
        <f t="shared" si="18"/>
        <v>3.8026119999999999</v>
      </c>
      <c r="I39" s="38">
        <f t="shared" si="18"/>
        <v>623.62836800000002</v>
      </c>
      <c r="J39" s="38">
        <f t="shared" si="18"/>
        <v>3378.6207620000005</v>
      </c>
      <c r="K39" s="38">
        <f t="shared" si="18"/>
        <v>912.62687999999991</v>
      </c>
      <c r="L39" s="38">
        <f t="shared" si="18"/>
        <v>1163.5992719999999</v>
      </c>
      <c r="M39" s="38">
        <f t="shared" si="18"/>
        <v>650.24665200000004</v>
      </c>
      <c r="N39" s="38">
        <f t="shared" si="18"/>
        <v>338.43246800000003</v>
      </c>
      <c r="O39" s="38">
        <f t="shared" si="18"/>
        <v>6.4644404</v>
      </c>
      <c r="P39" s="38">
        <f t="shared" si="18"/>
        <v>1399.6000000000001</v>
      </c>
      <c r="Q39" s="38">
        <f t="shared" si="18"/>
        <v>979.71999999999991</v>
      </c>
      <c r="R39" s="38">
        <f t="shared" si="18"/>
        <v>0</v>
      </c>
      <c r="S39" s="38">
        <f t="shared" si="18"/>
        <v>307.91199999999998</v>
      </c>
      <c r="T39" s="38">
        <f t="shared" si="18"/>
        <v>55.984000000000009</v>
      </c>
      <c r="U39" s="38">
        <f t="shared" si="18"/>
        <v>20.994</v>
      </c>
      <c r="V39" s="38">
        <f t="shared" si="18"/>
        <v>34.99</v>
      </c>
      <c r="W39" s="38">
        <f t="shared" si="18"/>
        <v>59.01</v>
      </c>
    </row>
    <row r="40" spans="2:23" x14ac:dyDescent="0.3">
      <c r="B40" s="1" t="s">
        <v>200</v>
      </c>
      <c r="C40">
        <v>419.17</v>
      </c>
      <c r="D40">
        <v>52.33</v>
      </c>
      <c r="E40">
        <v>282.52999999999997</v>
      </c>
      <c r="F40">
        <v>1324.22</v>
      </c>
      <c r="G40">
        <f t="shared" si="0"/>
        <v>803.80154000000005</v>
      </c>
      <c r="H40">
        <f t="shared" si="1"/>
        <v>0.26484400000000002</v>
      </c>
      <c r="I40">
        <f t="shared" si="2"/>
        <v>43.434416000000006</v>
      </c>
      <c r="J40">
        <v>235.313894</v>
      </c>
      <c r="K40">
        <f t="shared" si="3"/>
        <v>63.562560000000005</v>
      </c>
      <c r="L40">
        <f t="shared" si="4"/>
        <v>81.042264000000003</v>
      </c>
      <c r="M40">
        <f t="shared" si="5"/>
        <v>45.288324000000003</v>
      </c>
      <c r="N40">
        <f t="shared" si="6"/>
        <v>23.571116</v>
      </c>
      <c r="O40">
        <f t="shared" si="7"/>
        <v>0.45023480000000005</v>
      </c>
      <c r="P40">
        <v>11.98</v>
      </c>
      <c r="Q40">
        <f t="shared" si="8"/>
        <v>8.3859999999999992</v>
      </c>
      <c r="R40">
        <v>0</v>
      </c>
      <c r="S40">
        <f t="shared" si="9"/>
        <v>2.6356000000000002</v>
      </c>
      <c r="T40">
        <f t="shared" si="10"/>
        <v>0.47920000000000001</v>
      </c>
      <c r="U40">
        <f t="shared" si="11"/>
        <v>0.1797</v>
      </c>
      <c r="V40">
        <f t="shared" si="12"/>
        <v>0.29950000000000004</v>
      </c>
      <c r="W40">
        <v>5.0599999999999996</v>
      </c>
    </row>
    <row r="41" spans="2:23" x14ac:dyDescent="0.3">
      <c r="B41" s="1" t="s">
        <v>201</v>
      </c>
      <c r="C41">
        <v>17.740000000000002</v>
      </c>
      <c r="D41">
        <v>52.18</v>
      </c>
      <c r="E41">
        <v>232.08</v>
      </c>
      <c r="F41">
        <v>612.70000000000005</v>
      </c>
      <c r="G41">
        <f t="shared" si="0"/>
        <v>371.90890000000002</v>
      </c>
      <c r="H41">
        <f t="shared" si="1"/>
        <v>0.12254000000000001</v>
      </c>
      <c r="I41">
        <f t="shared" si="2"/>
        <v>20.096560000000004</v>
      </c>
      <c r="J41">
        <v>108.87679</v>
      </c>
      <c r="K41">
        <f t="shared" si="3"/>
        <v>29.409600000000001</v>
      </c>
      <c r="L41">
        <f t="shared" si="4"/>
        <v>37.497239999999998</v>
      </c>
      <c r="M41">
        <f t="shared" si="5"/>
        <v>20.954340000000002</v>
      </c>
      <c r="N41">
        <f t="shared" si="6"/>
        <v>10.90606</v>
      </c>
      <c r="O41">
        <f t="shared" si="7"/>
        <v>0.20831800000000003</v>
      </c>
      <c r="P41">
        <v>28.41</v>
      </c>
      <c r="Q41">
        <f t="shared" si="8"/>
        <v>19.887</v>
      </c>
      <c r="R41">
        <v>0</v>
      </c>
      <c r="S41">
        <f t="shared" si="9"/>
        <v>6.2502000000000004</v>
      </c>
      <c r="T41">
        <f t="shared" si="10"/>
        <v>1.1364000000000001</v>
      </c>
      <c r="U41">
        <f t="shared" si="11"/>
        <v>0.42614999999999997</v>
      </c>
      <c r="V41">
        <f t="shared" si="12"/>
        <v>0.71025000000000005</v>
      </c>
      <c r="W41">
        <v>4.3499999999999996</v>
      </c>
    </row>
    <row r="42" spans="2:23" x14ac:dyDescent="0.3">
      <c r="B42" s="1" t="s">
        <v>202</v>
      </c>
      <c r="C42">
        <v>24.069999999999997</v>
      </c>
      <c r="D42">
        <v>61.07</v>
      </c>
      <c r="E42">
        <v>368.49</v>
      </c>
      <c r="F42">
        <v>1453.65</v>
      </c>
      <c r="G42">
        <f t="shared" si="0"/>
        <v>882.36554999999998</v>
      </c>
      <c r="H42">
        <f t="shared" si="1"/>
        <v>0.29073000000000004</v>
      </c>
      <c r="I42">
        <f t="shared" si="2"/>
        <v>47.67972000000001</v>
      </c>
      <c r="J42">
        <v>258.313605</v>
      </c>
      <c r="K42">
        <f t="shared" si="3"/>
        <v>69.775200000000012</v>
      </c>
      <c r="L42">
        <f t="shared" si="4"/>
        <v>88.963380000000001</v>
      </c>
      <c r="M42">
        <f t="shared" si="5"/>
        <v>49.714830000000006</v>
      </c>
      <c r="N42">
        <f t="shared" si="6"/>
        <v>25.874970000000001</v>
      </c>
      <c r="O42">
        <f t="shared" si="7"/>
        <v>0.49424100000000004</v>
      </c>
      <c r="P42">
        <v>89.08</v>
      </c>
      <c r="Q42">
        <f t="shared" si="8"/>
        <v>62.355999999999995</v>
      </c>
      <c r="R42">
        <v>0</v>
      </c>
      <c r="S42">
        <f t="shared" si="9"/>
        <v>19.5976</v>
      </c>
      <c r="T42">
        <f t="shared" si="10"/>
        <v>3.5632000000000001</v>
      </c>
      <c r="U42">
        <f t="shared" si="11"/>
        <v>1.3361999999999998</v>
      </c>
      <c r="V42">
        <f t="shared" si="12"/>
        <v>2.2269999999999999</v>
      </c>
      <c r="W42">
        <v>2.3199999999999998</v>
      </c>
    </row>
    <row r="43" spans="2:23" x14ac:dyDescent="0.3">
      <c r="B43" s="1" t="s">
        <v>203</v>
      </c>
      <c r="C43">
        <v>31.1</v>
      </c>
      <c r="D43">
        <v>21.89</v>
      </c>
      <c r="E43">
        <v>288.07</v>
      </c>
      <c r="F43">
        <v>196.34</v>
      </c>
      <c r="G43">
        <f t="shared" si="0"/>
        <v>119.17838</v>
      </c>
      <c r="H43">
        <f t="shared" si="1"/>
        <v>3.9268000000000004E-2</v>
      </c>
      <c r="I43">
        <f t="shared" si="2"/>
        <v>6.4399520000000008</v>
      </c>
      <c r="J43">
        <v>34.889617999999999</v>
      </c>
      <c r="K43">
        <f t="shared" si="3"/>
        <v>9.4243199999999998</v>
      </c>
      <c r="L43">
        <f t="shared" si="4"/>
        <v>12.016007999999999</v>
      </c>
      <c r="M43">
        <f t="shared" si="5"/>
        <v>6.7148280000000007</v>
      </c>
      <c r="N43">
        <f t="shared" si="6"/>
        <v>3.4948519999999998</v>
      </c>
      <c r="O43">
        <f t="shared" si="7"/>
        <v>6.6755600000000012E-2</v>
      </c>
      <c r="P43">
        <v>20.2</v>
      </c>
      <c r="Q43">
        <f t="shared" si="8"/>
        <v>14.139999999999999</v>
      </c>
      <c r="R43">
        <v>0</v>
      </c>
      <c r="S43">
        <f t="shared" si="9"/>
        <v>4.444</v>
      </c>
      <c r="T43">
        <f t="shared" si="10"/>
        <v>0.80799999999999994</v>
      </c>
      <c r="U43">
        <f t="shared" si="11"/>
        <v>0.30299999999999999</v>
      </c>
      <c r="V43">
        <f t="shared" si="12"/>
        <v>0.505</v>
      </c>
      <c r="W43">
        <v>0.24</v>
      </c>
    </row>
    <row r="44" spans="2:23" x14ac:dyDescent="0.3">
      <c r="B44" s="1" t="s">
        <v>204</v>
      </c>
      <c r="C44">
        <v>9.33</v>
      </c>
      <c r="D44">
        <v>35.92</v>
      </c>
      <c r="E44">
        <v>198.35000000000002</v>
      </c>
      <c r="F44">
        <v>1158.78</v>
      </c>
      <c r="G44">
        <f t="shared" si="0"/>
        <v>703.37945999999999</v>
      </c>
      <c r="H44">
        <f t="shared" si="1"/>
        <v>0.23175600000000002</v>
      </c>
      <c r="I44">
        <f t="shared" si="2"/>
        <v>38.007984</v>
      </c>
      <c r="J44">
        <v>205.91520599999998</v>
      </c>
      <c r="K44">
        <f t="shared" si="3"/>
        <v>55.62144</v>
      </c>
      <c r="L44">
        <f t="shared" si="4"/>
        <v>70.917335999999992</v>
      </c>
      <c r="M44">
        <f t="shared" si="5"/>
        <v>39.630276000000002</v>
      </c>
      <c r="N44">
        <f t="shared" si="6"/>
        <v>20.626283999999998</v>
      </c>
      <c r="O44">
        <f t="shared" si="7"/>
        <v>0.39398520000000004</v>
      </c>
      <c r="P44">
        <v>47.65</v>
      </c>
      <c r="Q44">
        <f t="shared" si="8"/>
        <v>33.354999999999997</v>
      </c>
      <c r="R44">
        <v>0</v>
      </c>
      <c r="S44">
        <f t="shared" si="9"/>
        <v>10.483000000000001</v>
      </c>
      <c r="T44">
        <f t="shared" si="10"/>
        <v>1.9059999999999999</v>
      </c>
      <c r="U44">
        <f t="shared" si="11"/>
        <v>0.71475</v>
      </c>
      <c r="V44">
        <f t="shared" si="12"/>
        <v>1.1912499999999999</v>
      </c>
      <c r="W44">
        <v>4.76</v>
      </c>
    </row>
    <row r="45" spans="2:23" x14ac:dyDescent="0.3">
      <c r="B45" s="1" t="s">
        <v>205</v>
      </c>
      <c r="C45">
        <v>12.44</v>
      </c>
      <c r="D45">
        <v>18.670000000000002</v>
      </c>
      <c r="E45">
        <v>358.96</v>
      </c>
      <c r="F45">
        <v>1930.28</v>
      </c>
      <c r="G45">
        <f t="shared" si="0"/>
        <v>1171.6799599999999</v>
      </c>
      <c r="H45">
        <f t="shared" si="1"/>
        <v>0.38605600000000001</v>
      </c>
      <c r="I45">
        <f t="shared" si="2"/>
        <v>63.313184000000007</v>
      </c>
      <c r="J45">
        <v>343.01075600000001</v>
      </c>
      <c r="K45">
        <f t="shared" si="3"/>
        <v>92.653440000000003</v>
      </c>
      <c r="L45">
        <f t="shared" si="4"/>
        <v>118.13313599999999</v>
      </c>
      <c r="M45">
        <f t="shared" si="5"/>
        <v>66.015575999999996</v>
      </c>
      <c r="N45">
        <f t="shared" si="6"/>
        <v>34.358984</v>
      </c>
      <c r="O45">
        <f t="shared" si="7"/>
        <v>0.65629520000000008</v>
      </c>
      <c r="P45">
        <v>42.81</v>
      </c>
      <c r="Q45">
        <f t="shared" si="8"/>
        <v>29.966999999999999</v>
      </c>
      <c r="R45">
        <v>0</v>
      </c>
      <c r="S45">
        <f t="shared" si="9"/>
        <v>9.4182000000000006</v>
      </c>
      <c r="T45">
        <f t="shared" si="10"/>
        <v>1.7124000000000001</v>
      </c>
      <c r="U45">
        <f t="shared" si="11"/>
        <v>0.64215</v>
      </c>
      <c r="V45">
        <f t="shared" si="12"/>
        <v>1.0702500000000001</v>
      </c>
      <c r="W45">
        <v>2.87</v>
      </c>
    </row>
    <row r="46" spans="2:23" x14ac:dyDescent="0.3">
      <c r="B46" s="1" t="s">
        <v>206</v>
      </c>
      <c r="C46">
        <v>1.66</v>
      </c>
      <c r="D46">
        <v>5.61</v>
      </c>
      <c r="E46">
        <v>11.379999999999999</v>
      </c>
      <c r="F46">
        <v>94.92</v>
      </c>
      <c r="G46">
        <f t="shared" si="0"/>
        <v>57.616439999999997</v>
      </c>
      <c r="H46">
        <f t="shared" si="1"/>
        <v>1.8984000000000001E-2</v>
      </c>
      <c r="I46">
        <f t="shared" si="2"/>
        <v>3.1133760000000001</v>
      </c>
      <c r="J46">
        <v>16.867284000000001</v>
      </c>
      <c r="K46">
        <f t="shared" si="3"/>
        <v>4.5561600000000002</v>
      </c>
      <c r="L46">
        <f t="shared" si="4"/>
        <v>5.8091039999999996</v>
      </c>
      <c r="M46">
        <f t="shared" si="5"/>
        <v>3.246264</v>
      </c>
      <c r="N46">
        <f t="shared" si="6"/>
        <v>1.689576</v>
      </c>
      <c r="O46">
        <f t="shared" si="7"/>
        <v>3.2272800000000004E-2</v>
      </c>
      <c r="P46">
        <v>2.33</v>
      </c>
      <c r="Q46">
        <f t="shared" si="8"/>
        <v>1.631</v>
      </c>
      <c r="R46">
        <v>0</v>
      </c>
      <c r="S46">
        <f t="shared" si="9"/>
        <v>0.51260000000000006</v>
      </c>
      <c r="T46">
        <f t="shared" si="10"/>
        <v>9.3200000000000005E-2</v>
      </c>
      <c r="U46">
        <f t="shared" si="11"/>
        <v>3.4950000000000002E-2</v>
      </c>
      <c r="V46">
        <f t="shared" si="12"/>
        <v>5.8250000000000003E-2</v>
      </c>
      <c r="W46">
        <v>1.21</v>
      </c>
    </row>
    <row r="47" spans="2:23" s="38" customFormat="1" x14ac:dyDescent="0.3">
      <c r="B47" s="37" t="s">
        <v>283</v>
      </c>
      <c r="C47" s="38">
        <f>SUM(C40:C46)</f>
        <v>515.51</v>
      </c>
      <c r="D47" s="38">
        <f t="shared" ref="D47:W47" si="19">SUM(D40:D46)</f>
        <v>247.67000000000002</v>
      </c>
      <c r="E47" s="38">
        <f t="shared" si="19"/>
        <v>1739.8600000000001</v>
      </c>
      <c r="F47" s="38">
        <f t="shared" si="19"/>
        <v>6770.89</v>
      </c>
      <c r="G47" s="38">
        <f t="shared" si="19"/>
        <v>4109.9302299999999</v>
      </c>
      <c r="H47" s="38">
        <f t="shared" si="19"/>
        <v>1.3541780000000001</v>
      </c>
      <c r="I47" s="38">
        <f t="shared" si="19"/>
        <v>222.08519200000001</v>
      </c>
      <c r="J47" s="38">
        <f t="shared" si="19"/>
        <v>1203.1871529999999</v>
      </c>
      <c r="K47" s="38">
        <f t="shared" si="19"/>
        <v>325.00272000000001</v>
      </c>
      <c r="L47" s="38">
        <f t="shared" si="19"/>
        <v>414.37846799999994</v>
      </c>
      <c r="M47" s="38">
        <f t="shared" si="19"/>
        <v>231.564438</v>
      </c>
      <c r="N47" s="38">
        <f t="shared" si="19"/>
        <v>120.52184200000001</v>
      </c>
      <c r="O47" s="38">
        <f t="shared" si="19"/>
        <v>2.3021026</v>
      </c>
      <c r="P47" s="38">
        <f t="shared" si="19"/>
        <v>242.46</v>
      </c>
      <c r="Q47" s="38">
        <f t="shared" si="19"/>
        <v>169.72200000000001</v>
      </c>
      <c r="R47" s="38">
        <f t="shared" si="19"/>
        <v>0</v>
      </c>
      <c r="S47" s="38">
        <f t="shared" si="19"/>
        <v>53.341199999999994</v>
      </c>
      <c r="T47" s="38">
        <f t="shared" si="19"/>
        <v>9.6983999999999995</v>
      </c>
      <c r="U47" s="38">
        <f t="shared" si="19"/>
        <v>3.6368999999999998</v>
      </c>
      <c r="V47" s="38">
        <f t="shared" si="19"/>
        <v>6.0614999999999997</v>
      </c>
      <c r="W47" s="38">
        <f t="shared" si="19"/>
        <v>20.810000000000002</v>
      </c>
    </row>
    <row r="48" spans="2:23" x14ac:dyDescent="0.3">
      <c r="B48" s="1" t="s">
        <v>207</v>
      </c>
      <c r="C48">
        <v>3.6100000000000003</v>
      </c>
      <c r="D48">
        <v>7.15</v>
      </c>
      <c r="E48">
        <v>53.15</v>
      </c>
      <c r="F48">
        <v>738.26</v>
      </c>
      <c r="G48">
        <f t="shared" si="0"/>
        <v>448.12381999999997</v>
      </c>
      <c r="H48">
        <f t="shared" si="1"/>
        <v>0.14765200000000001</v>
      </c>
      <c r="I48">
        <f t="shared" si="2"/>
        <v>24.214928</v>
      </c>
      <c r="J48">
        <v>131.18880200000001</v>
      </c>
      <c r="K48">
        <f t="shared" si="3"/>
        <v>35.436480000000003</v>
      </c>
      <c r="L48">
        <f t="shared" si="4"/>
        <v>45.181511999999998</v>
      </c>
      <c r="M48">
        <f t="shared" si="5"/>
        <v>25.248491999999999</v>
      </c>
      <c r="N48">
        <f t="shared" si="6"/>
        <v>13.141028</v>
      </c>
      <c r="O48">
        <f t="shared" si="7"/>
        <v>0.25100840000000002</v>
      </c>
      <c r="P48">
        <v>2.82</v>
      </c>
      <c r="Q48">
        <f t="shared" si="8"/>
        <v>1.9739999999999998</v>
      </c>
      <c r="R48">
        <v>0</v>
      </c>
      <c r="S48">
        <f t="shared" si="9"/>
        <v>0.62039999999999995</v>
      </c>
      <c r="T48">
        <f t="shared" si="10"/>
        <v>0.1128</v>
      </c>
      <c r="U48">
        <f t="shared" si="11"/>
        <v>4.2299999999999997E-2</v>
      </c>
      <c r="V48">
        <f t="shared" si="12"/>
        <v>7.0499999999999993E-2</v>
      </c>
      <c r="W48">
        <v>0.76</v>
      </c>
    </row>
    <row r="49" spans="2:23" x14ac:dyDescent="0.3">
      <c r="B49" s="1" t="s">
        <v>208</v>
      </c>
      <c r="C49">
        <v>407.59</v>
      </c>
      <c r="D49">
        <v>10.62</v>
      </c>
      <c r="E49">
        <v>204.69</v>
      </c>
      <c r="F49">
        <v>82.46</v>
      </c>
      <c r="G49">
        <f t="shared" si="0"/>
        <v>50.053219999999996</v>
      </c>
      <c r="H49">
        <f t="shared" si="1"/>
        <v>1.6492E-2</v>
      </c>
      <c r="I49">
        <f t="shared" si="2"/>
        <v>2.704688</v>
      </c>
      <c r="J49">
        <v>14.653141999999999</v>
      </c>
      <c r="K49">
        <f t="shared" si="3"/>
        <v>3.9580799999999998</v>
      </c>
      <c r="L49">
        <f t="shared" si="4"/>
        <v>5.0465519999999993</v>
      </c>
      <c r="M49">
        <f t="shared" si="5"/>
        <v>2.8201320000000001</v>
      </c>
      <c r="N49">
        <f t="shared" si="6"/>
        <v>1.4677879999999999</v>
      </c>
      <c r="O49">
        <f t="shared" si="7"/>
        <v>2.80364E-2</v>
      </c>
      <c r="P49">
        <v>1.36</v>
      </c>
      <c r="Q49">
        <f t="shared" si="8"/>
        <v>0.95199999999999996</v>
      </c>
      <c r="R49">
        <v>0</v>
      </c>
      <c r="S49">
        <f t="shared" si="9"/>
        <v>0.29920000000000002</v>
      </c>
      <c r="T49">
        <f t="shared" si="10"/>
        <v>5.4400000000000004E-2</v>
      </c>
      <c r="U49">
        <f t="shared" si="11"/>
        <v>2.0400000000000001E-2</v>
      </c>
      <c r="V49">
        <f t="shared" si="12"/>
        <v>3.4000000000000002E-2</v>
      </c>
      <c r="W49">
        <v>6</v>
      </c>
    </row>
    <row r="50" spans="2:23" x14ac:dyDescent="0.3">
      <c r="B50" s="1" t="s">
        <v>209</v>
      </c>
      <c r="C50">
        <v>1.29</v>
      </c>
      <c r="D50">
        <v>8.89</v>
      </c>
      <c r="E50">
        <v>7.99</v>
      </c>
      <c r="F50">
        <v>18.239999999999998</v>
      </c>
      <c r="G50">
        <f t="shared" si="0"/>
        <v>11.071679999999999</v>
      </c>
      <c r="H50">
        <f t="shared" si="1"/>
        <v>3.6479999999999998E-3</v>
      </c>
      <c r="I50">
        <f t="shared" si="2"/>
        <v>0.59827200000000003</v>
      </c>
      <c r="J50">
        <v>3.2412479999999997</v>
      </c>
      <c r="K50">
        <f t="shared" si="3"/>
        <v>0.87551999999999996</v>
      </c>
      <c r="L50">
        <f t="shared" si="4"/>
        <v>1.1162879999999999</v>
      </c>
      <c r="M50">
        <f t="shared" si="5"/>
        <v>0.62380799999999992</v>
      </c>
      <c r="N50">
        <f t="shared" si="6"/>
        <v>0.32467199999999996</v>
      </c>
      <c r="O50">
        <f t="shared" si="7"/>
        <v>6.2015999999999998E-3</v>
      </c>
      <c r="P50">
        <v>0.99</v>
      </c>
      <c r="Q50">
        <f t="shared" si="8"/>
        <v>0.69299999999999995</v>
      </c>
      <c r="R50">
        <v>0</v>
      </c>
      <c r="S50">
        <f t="shared" si="9"/>
        <v>0.21779999999999999</v>
      </c>
      <c r="T50">
        <f t="shared" si="10"/>
        <v>3.9600000000000003E-2</v>
      </c>
      <c r="U50">
        <f t="shared" si="11"/>
        <v>1.4849999999999999E-2</v>
      </c>
      <c r="V50">
        <f t="shared" si="12"/>
        <v>2.4750000000000001E-2</v>
      </c>
      <c r="W50">
        <v>0</v>
      </c>
    </row>
    <row r="51" spans="2:23" s="38" customFormat="1" x14ac:dyDescent="0.3">
      <c r="B51" s="37" t="s">
        <v>207</v>
      </c>
      <c r="C51" s="38">
        <f>SUM(C48:C50)</f>
        <v>412.49</v>
      </c>
      <c r="D51" s="38">
        <f t="shared" ref="D51:W51" si="20">SUM(D48:D50)</f>
        <v>26.66</v>
      </c>
      <c r="E51" s="38">
        <f t="shared" si="20"/>
        <v>265.83</v>
      </c>
      <c r="F51" s="38">
        <f t="shared" si="20"/>
        <v>838.96</v>
      </c>
      <c r="G51" s="38">
        <f t="shared" si="20"/>
        <v>509.24871999999999</v>
      </c>
      <c r="H51" s="38">
        <f t="shared" si="20"/>
        <v>0.16779200000000002</v>
      </c>
      <c r="I51" s="38">
        <f t="shared" si="20"/>
        <v>27.517888000000003</v>
      </c>
      <c r="J51" s="38">
        <f t="shared" si="20"/>
        <v>149.08319200000003</v>
      </c>
      <c r="K51" s="38">
        <f t="shared" si="20"/>
        <v>40.270080000000007</v>
      </c>
      <c r="L51" s="38">
        <f t="shared" si="20"/>
        <v>51.344351999999994</v>
      </c>
      <c r="M51" s="38">
        <f t="shared" si="20"/>
        <v>28.692432</v>
      </c>
      <c r="N51" s="38">
        <f t="shared" si="20"/>
        <v>14.933488000000001</v>
      </c>
      <c r="O51" s="38">
        <f t="shared" si="20"/>
        <v>0.28524640000000001</v>
      </c>
      <c r="P51" s="38">
        <f t="shared" si="20"/>
        <v>5.17</v>
      </c>
      <c r="Q51" s="38">
        <f t="shared" si="20"/>
        <v>3.6189999999999998</v>
      </c>
      <c r="R51" s="38">
        <f t="shared" si="20"/>
        <v>0</v>
      </c>
      <c r="S51" s="38">
        <f t="shared" si="20"/>
        <v>1.1374</v>
      </c>
      <c r="T51" s="38">
        <f t="shared" si="20"/>
        <v>0.20680000000000001</v>
      </c>
      <c r="U51" s="38">
        <f t="shared" si="20"/>
        <v>7.7550000000000008E-2</v>
      </c>
      <c r="V51" s="38">
        <f t="shared" si="20"/>
        <v>0.12925</v>
      </c>
      <c r="W51" s="38">
        <f t="shared" si="20"/>
        <v>6.76</v>
      </c>
    </row>
    <row r="52" spans="2:23" s="38" customFormat="1" x14ac:dyDescent="0.3">
      <c r="B52" s="37" t="s">
        <v>210</v>
      </c>
      <c r="C52" s="38">
        <v>488.1</v>
      </c>
      <c r="D52" s="38">
        <v>60.31</v>
      </c>
      <c r="E52" s="38">
        <v>205.38</v>
      </c>
      <c r="F52" s="38">
        <v>8235.0300000000007</v>
      </c>
      <c r="G52" s="38">
        <f t="shared" si="0"/>
        <v>4998.6632100000006</v>
      </c>
      <c r="H52" s="38">
        <f t="shared" si="1"/>
        <v>1.6470060000000002</v>
      </c>
      <c r="I52" s="38">
        <f t="shared" si="2"/>
        <v>270.10898400000002</v>
      </c>
      <c r="J52" s="38">
        <v>1463.3648310000001</v>
      </c>
      <c r="K52" s="38">
        <f t="shared" si="3"/>
        <v>395.28144000000003</v>
      </c>
      <c r="L52" s="38">
        <f t="shared" si="4"/>
        <v>503.983836</v>
      </c>
      <c r="M52" s="38">
        <f t="shared" si="5"/>
        <v>281.63802600000002</v>
      </c>
      <c r="N52" s="38">
        <f t="shared" si="6"/>
        <v>146.58353400000001</v>
      </c>
      <c r="O52" s="38">
        <f t="shared" si="7"/>
        <v>2.7999102000000002</v>
      </c>
      <c r="P52" s="38">
        <v>489.51</v>
      </c>
      <c r="Q52" s="38">
        <f t="shared" si="8"/>
        <v>342.65699999999998</v>
      </c>
      <c r="R52" s="38">
        <v>0</v>
      </c>
      <c r="S52" s="38">
        <f t="shared" si="9"/>
        <v>107.6922</v>
      </c>
      <c r="T52" s="38">
        <f t="shared" si="10"/>
        <v>19.580400000000001</v>
      </c>
      <c r="U52" s="38">
        <f t="shared" si="11"/>
        <v>7.3426499999999999</v>
      </c>
      <c r="V52" s="38">
        <f t="shared" si="12"/>
        <v>12.23775</v>
      </c>
      <c r="W52" s="38">
        <v>9.6199999999999992</v>
      </c>
    </row>
    <row r="53" spans="2:23" x14ac:dyDescent="0.3">
      <c r="B53" s="1" t="s">
        <v>211</v>
      </c>
      <c r="C53">
        <v>385.89</v>
      </c>
      <c r="D53">
        <v>51.28</v>
      </c>
      <c r="E53">
        <v>32.840000000000003</v>
      </c>
      <c r="F53">
        <v>7233.92</v>
      </c>
      <c r="G53">
        <f t="shared" si="0"/>
        <v>4390.9894400000003</v>
      </c>
      <c r="H53">
        <f t="shared" si="1"/>
        <v>1.4467840000000001</v>
      </c>
      <c r="I53">
        <f t="shared" si="2"/>
        <v>237.27257600000002</v>
      </c>
      <c r="J53">
        <v>1285.467584</v>
      </c>
      <c r="K53">
        <f t="shared" si="3"/>
        <v>347.22816</v>
      </c>
      <c r="L53">
        <f t="shared" si="4"/>
        <v>442.71590399999997</v>
      </c>
      <c r="M53">
        <f t="shared" si="5"/>
        <v>247.40006400000001</v>
      </c>
      <c r="N53">
        <f t="shared" si="6"/>
        <v>128.76377600000001</v>
      </c>
      <c r="O53">
        <f t="shared" si="7"/>
        <v>2.4595328000000003</v>
      </c>
      <c r="P53">
        <v>343.87</v>
      </c>
      <c r="Q53">
        <f t="shared" si="8"/>
        <v>240.70899999999997</v>
      </c>
      <c r="R53">
        <v>0</v>
      </c>
      <c r="S53">
        <f t="shared" si="9"/>
        <v>75.651399999999995</v>
      </c>
      <c r="T53">
        <f t="shared" si="10"/>
        <v>13.754800000000001</v>
      </c>
      <c r="U53">
        <f t="shared" si="11"/>
        <v>5.1580500000000002</v>
      </c>
      <c r="V53">
        <f t="shared" si="12"/>
        <v>8.5967500000000001</v>
      </c>
      <c r="W53">
        <v>9.6199999999999992</v>
      </c>
    </row>
    <row r="54" spans="2:23" x14ac:dyDescent="0.3">
      <c r="B54" s="1" t="s">
        <v>212</v>
      </c>
      <c r="C54">
        <v>99.12</v>
      </c>
      <c r="D54">
        <v>4.53</v>
      </c>
      <c r="E54">
        <v>166.32</v>
      </c>
      <c r="F54">
        <v>208.35</v>
      </c>
      <c r="G54">
        <f t="shared" si="0"/>
        <v>126.46844999999999</v>
      </c>
      <c r="H54">
        <f t="shared" si="1"/>
        <v>4.1669999999999999E-2</v>
      </c>
      <c r="I54">
        <f t="shared" si="2"/>
        <v>6.8338800000000006</v>
      </c>
      <c r="J54">
        <v>37.023795</v>
      </c>
      <c r="K54">
        <f t="shared" si="3"/>
        <v>10.0008</v>
      </c>
      <c r="L54">
        <f t="shared" si="4"/>
        <v>12.751019999999999</v>
      </c>
      <c r="M54">
        <f t="shared" si="5"/>
        <v>7.1255699999999997</v>
      </c>
      <c r="N54">
        <f t="shared" si="6"/>
        <v>3.7086299999999999</v>
      </c>
      <c r="O54">
        <f t="shared" si="7"/>
        <v>7.0838999999999999E-2</v>
      </c>
      <c r="P54">
        <v>138.79</v>
      </c>
      <c r="Q54">
        <f t="shared" si="8"/>
        <v>97.152999999999992</v>
      </c>
      <c r="R54">
        <v>0</v>
      </c>
      <c r="S54">
        <f t="shared" si="9"/>
        <v>30.533799999999999</v>
      </c>
      <c r="T54">
        <f t="shared" si="10"/>
        <v>5.5515999999999996</v>
      </c>
      <c r="U54">
        <f t="shared" si="11"/>
        <v>2.0818499999999998</v>
      </c>
      <c r="V54">
        <f t="shared" si="12"/>
        <v>3.4697499999999999</v>
      </c>
      <c r="W54">
        <v>0</v>
      </c>
    </row>
    <row r="55" spans="2:23" x14ac:dyDescent="0.3">
      <c r="B55" s="1" t="s">
        <v>213</v>
      </c>
      <c r="C55">
        <v>3.07</v>
      </c>
      <c r="D55">
        <v>4.51</v>
      </c>
      <c r="E55">
        <v>6.2299999999999995</v>
      </c>
      <c r="F55">
        <v>792.76</v>
      </c>
      <c r="G55">
        <f t="shared" si="0"/>
        <v>481.20531999999997</v>
      </c>
      <c r="H55">
        <f t="shared" si="1"/>
        <v>0.158552</v>
      </c>
      <c r="I55">
        <f t="shared" si="2"/>
        <v>26.002528000000002</v>
      </c>
      <c r="J55">
        <v>140.87345199999999</v>
      </c>
      <c r="K55">
        <f t="shared" si="3"/>
        <v>38.052480000000003</v>
      </c>
      <c r="L55">
        <f t="shared" si="4"/>
        <v>48.516911999999998</v>
      </c>
      <c r="M55">
        <f t="shared" si="5"/>
        <v>27.112392</v>
      </c>
      <c r="N55">
        <f t="shared" si="6"/>
        <v>14.111127999999999</v>
      </c>
      <c r="O55">
        <f t="shared" si="7"/>
        <v>0.26953840000000001</v>
      </c>
      <c r="P55">
        <v>6.85</v>
      </c>
      <c r="Q55">
        <f t="shared" si="8"/>
        <v>4.794999999999999</v>
      </c>
      <c r="R55">
        <v>0</v>
      </c>
      <c r="S55">
        <f t="shared" si="9"/>
        <v>1.5069999999999999</v>
      </c>
      <c r="T55">
        <f t="shared" si="10"/>
        <v>0.27399999999999997</v>
      </c>
      <c r="U55">
        <f t="shared" si="11"/>
        <v>0.10274999999999999</v>
      </c>
      <c r="V55">
        <f t="shared" si="12"/>
        <v>0.17125000000000001</v>
      </c>
      <c r="W55">
        <v>0</v>
      </c>
    </row>
    <row r="56" spans="2:23" s="38" customFormat="1" x14ac:dyDescent="0.3">
      <c r="B56" s="38" t="s">
        <v>169</v>
      </c>
      <c r="C56" s="38">
        <v>460.32330000000002</v>
      </c>
      <c r="D56" s="38">
        <v>5920.2823099999996</v>
      </c>
      <c r="E56" s="38">
        <v>33.0792</v>
      </c>
      <c r="F56" s="38">
        <v>1242.6463244000001</v>
      </c>
      <c r="G56" s="38">
        <f t="shared" si="0"/>
        <v>754.28631891080011</v>
      </c>
      <c r="H56" s="38">
        <f t="shared" si="1"/>
        <v>0.24852926488000004</v>
      </c>
      <c r="I56" s="38">
        <f t="shared" si="2"/>
        <v>40.758799440320011</v>
      </c>
      <c r="J56" s="38">
        <v>220.81825184588001</v>
      </c>
      <c r="K56" s="38">
        <f t="shared" si="3"/>
        <v>59.647023571200009</v>
      </c>
      <c r="L56" s="38">
        <f t="shared" si="4"/>
        <v>76.049955053280001</v>
      </c>
      <c r="M56" s="38">
        <f t="shared" si="5"/>
        <v>42.498504294480007</v>
      </c>
      <c r="N56" s="38">
        <f t="shared" si="6"/>
        <v>22.119104574320001</v>
      </c>
      <c r="O56" s="38">
        <f t="shared" si="7"/>
        <v>0.42249975029600007</v>
      </c>
      <c r="P56" s="38">
        <v>65.919050999999996</v>
      </c>
      <c r="Q56" s="38">
        <f t="shared" si="8"/>
        <v>46.143335699999994</v>
      </c>
      <c r="R56" s="38">
        <v>0</v>
      </c>
      <c r="S56" s="38">
        <f t="shared" si="9"/>
        <v>14.502191219999998</v>
      </c>
      <c r="T56" s="38">
        <f t="shared" si="10"/>
        <v>2.6367620399999998</v>
      </c>
      <c r="U56" s="38">
        <f t="shared" si="11"/>
        <v>0.98878576499999993</v>
      </c>
      <c r="V56" s="38">
        <f t="shared" si="12"/>
        <v>1.647976275</v>
      </c>
      <c r="W56" s="38">
        <v>28.55</v>
      </c>
    </row>
    <row r="57" spans="2:23" s="38" customFormat="1" x14ac:dyDescent="0.3">
      <c r="B57" s="38" t="s">
        <v>22</v>
      </c>
      <c r="C57" s="38">
        <v>172.14630000000002</v>
      </c>
      <c r="D57" s="38">
        <v>30248.270059000002</v>
      </c>
      <c r="E57" s="38">
        <v>4439.2537000000002</v>
      </c>
      <c r="F57" s="38">
        <v>2151.9582299000003</v>
      </c>
      <c r="G57" s="38">
        <f t="shared" si="0"/>
        <v>1306.2386455493001</v>
      </c>
      <c r="H57" s="38">
        <f t="shared" si="1"/>
        <v>0.43039164598000007</v>
      </c>
      <c r="I57" s="38">
        <f t="shared" si="2"/>
        <v>70.584229940720022</v>
      </c>
      <c r="J57" s="38">
        <v>382.40297745323005</v>
      </c>
      <c r="K57" s="38">
        <f t="shared" si="3"/>
        <v>103.29399503520001</v>
      </c>
      <c r="L57" s="38">
        <f t="shared" si="4"/>
        <v>131.69984366988001</v>
      </c>
      <c r="M57" s="38">
        <f t="shared" si="5"/>
        <v>73.596971462580015</v>
      </c>
      <c r="N57" s="38">
        <f t="shared" si="6"/>
        <v>38.304856492220004</v>
      </c>
      <c r="O57" s="38">
        <f t="shared" si="7"/>
        <v>0.73166579816600019</v>
      </c>
      <c r="P57" s="38">
        <v>133.159818</v>
      </c>
      <c r="Q57" s="38">
        <f t="shared" si="8"/>
        <v>93.211872599999992</v>
      </c>
      <c r="R57" s="38">
        <v>0</v>
      </c>
      <c r="S57" s="38">
        <f t="shared" si="9"/>
        <v>29.295159959999999</v>
      </c>
      <c r="T57" s="38">
        <f t="shared" si="10"/>
        <v>5.3263927200000003</v>
      </c>
      <c r="U57" s="38">
        <f t="shared" si="11"/>
        <v>1.99739727</v>
      </c>
      <c r="V57" s="38">
        <f t="shared" si="12"/>
        <v>3.3289954500000003</v>
      </c>
      <c r="W57" s="38">
        <v>1208.26</v>
      </c>
    </row>
    <row r="58" spans="2:23" s="38" customFormat="1" x14ac:dyDescent="0.3">
      <c r="B58" s="38" t="s">
        <v>21</v>
      </c>
      <c r="C58" s="38">
        <v>1472.0753400000001</v>
      </c>
      <c r="D58" s="38">
        <v>873.82464400000015</v>
      </c>
      <c r="E58" s="38">
        <v>778.61419999999998</v>
      </c>
      <c r="F58" s="38">
        <v>2948.2653060000002</v>
      </c>
      <c r="G58" s="38">
        <f t="shared" si="0"/>
        <v>1789.597040742</v>
      </c>
      <c r="H58" s="38">
        <f t="shared" si="1"/>
        <v>0.58965306120000005</v>
      </c>
      <c r="I58" s="38">
        <f t="shared" si="2"/>
        <v>96.703102036800018</v>
      </c>
      <c r="J58" s="38">
        <v>523.90674487620004</v>
      </c>
      <c r="K58" s="38">
        <f t="shared" si="3"/>
        <v>141.51673468800001</v>
      </c>
      <c r="L58" s="38">
        <f t="shared" si="4"/>
        <v>180.4338367272</v>
      </c>
      <c r="M58" s="38">
        <f t="shared" si="5"/>
        <v>100.83067346520001</v>
      </c>
      <c r="N58" s="38">
        <f t="shared" si="6"/>
        <v>52.479122446800005</v>
      </c>
      <c r="O58" s="38">
        <f t="shared" si="7"/>
        <v>1.0024102040400003</v>
      </c>
      <c r="P58" s="38">
        <v>354.83505199999996</v>
      </c>
      <c r="Q58" s="38">
        <f t="shared" si="8"/>
        <v>248.38453639999994</v>
      </c>
      <c r="R58" s="38">
        <v>0</v>
      </c>
      <c r="S58" s="38">
        <f t="shared" si="9"/>
        <v>78.063711439999992</v>
      </c>
      <c r="T58" s="38">
        <f t="shared" si="10"/>
        <v>14.193402079999998</v>
      </c>
      <c r="U58" s="38">
        <f t="shared" si="11"/>
        <v>5.3225257799999994</v>
      </c>
      <c r="V58" s="38">
        <f t="shared" si="12"/>
        <v>8.870876299999999</v>
      </c>
      <c r="W58" s="38">
        <v>64</v>
      </c>
    </row>
    <row r="59" spans="2:23" s="38" customFormat="1" x14ac:dyDescent="0.3">
      <c r="B59" s="38" t="s">
        <v>23</v>
      </c>
      <c r="C59" s="38">
        <v>1841.36778</v>
      </c>
      <c r="D59" s="38">
        <v>5106.4202889999997</v>
      </c>
      <c r="E59" s="38">
        <v>764.83119999999997</v>
      </c>
      <c r="F59" s="38">
        <v>7553.7616514000001</v>
      </c>
      <c r="G59" s="38">
        <f t="shared" si="0"/>
        <v>4585.1333223997999</v>
      </c>
      <c r="H59" s="38">
        <f t="shared" si="1"/>
        <v>1.5107523302800001</v>
      </c>
      <c r="I59" s="38">
        <f t="shared" si="2"/>
        <v>247.76338216592004</v>
      </c>
      <c r="J59" s="38">
        <v>1342.3034454537799</v>
      </c>
      <c r="K59" s="38">
        <f t="shared" si="3"/>
        <v>362.58055926719999</v>
      </c>
      <c r="L59" s="38">
        <f t="shared" si="4"/>
        <v>462.29021306568001</v>
      </c>
      <c r="M59" s="38">
        <f t="shared" si="5"/>
        <v>258.33864847787999</v>
      </c>
      <c r="N59" s="38">
        <f t="shared" si="6"/>
        <v>134.45695739492001</v>
      </c>
      <c r="O59" s="38">
        <f t="shared" si="7"/>
        <v>2.5682789614760004</v>
      </c>
      <c r="P59" s="38">
        <v>723.18802600000004</v>
      </c>
      <c r="Q59" s="38">
        <f t="shared" si="8"/>
        <v>506.23161820000001</v>
      </c>
      <c r="R59" s="38">
        <v>0</v>
      </c>
      <c r="S59" s="38">
        <f t="shared" si="9"/>
        <v>159.10136572000002</v>
      </c>
      <c r="T59" s="38">
        <f t="shared" si="10"/>
        <v>28.927521040000002</v>
      </c>
      <c r="U59" s="38">
        <f t="shared" si="11"/>
        <v>10.847820390000001</v>
      </c>
      <c r="V59" s="38">
        <f t="shared" si="12"/>
        <v>18.079700650000003</v>
      </c>
      <c r="W59" s="38">
        <v>245.5</v>
      </c>
    </row>
    <row r="60" spans="2:23" s="38" customFormat="1" x14ac:dyDescent="0.3">
      <c r="B60" s="38" t="s">
        <v>25</v>
      </c>
      <c r="C60" s="38">
        <v>4775.8995599999998</v>
      </c>
      <c r="D60" s="38">
        <v>11204.853702999999</v>
      </c>
      <c r="E60" s="38">
        <v>7421.0177999999996</v>
      </c>
      <c r="F60" s="38">
        <v>13452.736990200001</v>
      </c>
      <c r="G60" s="38">
        <f t="shared" si="0"/>
        <v>8165.8113530514001</v>
      </c>
      <c r="H60" s="38">
        <f t="shared" si="1"/>
        <v>2.6905473980400005</v>
      </c>
      <c r="I60" s="38">
        <f t="shared" si="2"/>
        <v>441.24977327856004</v>
      </c>
      <c r="J60" s="38">
        <v>2390.55136315854</v>
      </c>
      <c r="K60" s="38">
        <f t="shared" si="3"/>
        <v>645.73137552960009</v>
      </c>
      <c r="L60" s="38">
        <f t="shared" si="4"/>
        <v>823.30750380024006</v>
      </c>
      <c r="M60" s="38">
        <f t="shared" si="5"/>
        <v>460.08360506484007</v>
      </c>
      <c r="N60" s="38">
        <f t="shared" si="6"/>
        <v>239.45871842556002</v>
      </c>
      <c r="O60" s="38">
        <f t="shared" si="7"/>
        <v>4.5739305766680003</v>
      </c>
      <c r="P60" s="38">
        <v>4820.0138580000003</v>
      </c>
      <c r="Q60" s="38">
        <f t="shared" si="8"/>
        <v>3374.0097006000001</v>
      </c>
      <c r="R60" s="38">
        <v>0</v>
      </c>
      <c r="S60" s="38">
        <f t="shared" si="9"/>
        <v>1060.40304876</v>
      </c>
      <c r="T60" s="38">
        <f t="shared" si="10"/>
        <v>192.80055432</v>
      </c>
      <c r="U60" s="38">
        <f t="shared" si="11"/>
        <v>72.300207869999994</v>
      </c>
      <c r="V60" s="38">
        <f t="shared" si="12"/>
        <v>120.50034645000001</v>
      </c>
      <c r="W60" s="38">
        <v>2387.64</v>
      </c>
    </row>
    <row r="61" spans="2:23" x14ac:dyDescent="0.3">
      <c r="J61">
        <f>J2+J4+J17+J21+J25+J28+J34+J35+J39+J47+J51+J52+J56+J57+J58+J59+J60</f>
        <v>15898.033276988721</v>
      </c>
    </row>
    <row r="71" spans="10:10" x14ac:dyDescent="0.3">
      <c r="J71" s="27"/>
    </row>
    <row r="72" spans="10:10" x14ac:dyDescent="0.3">
      <c r="J72" s="27"/>
    </row>
    <row r="73" spans="10:10" x14ac:dyDescent="0.3">
      <c r="J73" s="27"/>
    </row>
    <row r="74" spans="10:10" x14ac:dyDescent="0.3">
      <c r="J74" s="27"/>
    </row>
    <row r="75" spans="10:10" x14ac:dyDescent="0.3">
      <c r="J75" s="27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5632-7BEE-4BF0-992B-C81B7F6C1C08}">
  <dimension ref="A1:AL48"/>
  <sheetViews>
    <sheetView topLeftCell="N1" zoomScaleNormal="100" workbookViewId="0">
      <selection activeCell="AI3" sqref="AI3"/>
    </sheetView>
  </sheetViews>
  <sheetFormatPr defaultRowHeight="14" x14ac:dyDescent="0.3"/>
  <cols>
    <col min="1" max="1" width="11.1640625" style="14" customWidth="1"/>
    <col min="2" max="4" width="8.6640625" style="14" customWidth="1"/>
    <col min="5" max="15" width="8.6640625" style="14"/>
    <col min="16" max="16" width="10.25" style="14" bestFit="1" customWidth="1"/>
    <col min="17" max="25" width="8.6640625" style="14"/>
    <col min="26" max="26" width="6.75" style="14" bestFit="1" customWidth="1"/>
    <col min="27" max="16384" width="8.6640625" style="14"/>
  </cols>
  <sheetData>
    <row r="1" spans="1:38" ht="45.5" customHeight="1" x14ac:dyDescent="0.3">
      <c r="A1" s="42" t="s">
        <v>125</v>
      </c>
      <c r="B1" s="44" t="s">
        <v>126</v>
      </c>
      <c r="C1" s="46" t="s">
        <v>127</v>
      </c>
      <c r="D1" s="47"/>
      <c r="E1" s="40" t="s">
        <v>128</v>
      </c>
      <c r="F1" s="40" t="s">
        <v>129</v>
      </c>
      <c r="G1" s="40" t="s">
        <v>130</v>
      </c>
      <c r="H1" s="40" t="s">
        <v>131</v>
      </c>
      <c r="I1" s="40" t="s">
        <v>132</v>
      </c>
      <c r="J1" s="40" t="s">
        <v>133</v>
      </c>
      <c r="K1" s="40" t="s">
        <v>134</v>
      </c>
      <c r="L1" s="40" t="s">
        <v>135</v>
      </c>
      <c r="M1" s="42" t="s">
        <v>136</v>
      </c>
      <c r="N1" s="48" t="s">
        <v>139</v>
      </c>
      <c r="O1" s="13"/>
      <c r="P1" s="13"/>
    </row>
    <row r="2" spans="1:38" ht="91" x14ac:dyDescent="0.3">
      <c r="A2" s="43"/>
      <c r="B2" s="45"/>
      <c r="C2" s="15" t="s">
        <v>137</v>
      </c>
      <c r="D2" s="15" t="s">
        <v>138</v>
      </c>
      <c r="E2" s="41"/>
      <c r="F2" s="41"/>
      <c r="G2" s="41"/>
      <c r="H2" s="41"/>
      <c r="I2" s="41"/>
      <c r="J2" s="41"/>
      <c r="K2" s="41"/>
      <c r="L2" s="41"/>
      <c r="M2" s="50"/>
      <c r="N2" s="49"/>
      <c r="O2" s="16" t="s">
        <v>160</v>
      </c>
      <c r="P2" s="16" t="s">
        <v>162</v>
      </c>
      <c r="Q2" s="15" t="s">
        <v>140</v>
      </c>
      <c r="R2" s="15" t="s">
        <v>141</v>
      </c>
      <c r="S2" s="15" t="s">
        <v>142</v>
      </c>
      <c r="T2" s="15" t="s">
        <v>143</v>
      </c>
      <c r="U2" s="15" t="s">
        <v>144</v>
      </c>
      <c r="V2" s="15" t="s">
        <v>145</v>
      </c>
      <c r="W2" s="15" t="s">
        <v>146</v>
      </c>
      <c r="X2" s="15" t="s">
        <v>147</v>
      </c>
      <c r="Y2" s="15" t="s">
        <v>148</v>
      </c>
      <c r="Z2" s="12" t="s">
        <v>149</v>
      </c>
      <c r="AA2" s="2" t="s">
        <v>150</v>
      </c>
      <c r="AB2" s="2" t="s">
        <v>151</v>
      </c>
      <c r="AC2" s="2" t="s">
        <v>152</v>
      </c>
      <c r="AD2" s="2" t="s">
        <v>153</v>
      </c>
      <c r="AE2" s="2" t="s">
        <v>154</v>
      </c>
      <c r="AF2" s="2" t="s">
        <v>165</v>
      </c>
      <c r="AG2" s="2" t="s">
        <v>155</v>
      </c>
      <c r="AH2" s="2" t="s">
        <v>156</v>
      </c>
      <c r="AI2" s="2" t="s">
        <v>157</v>
      </c>
      <c r="AJ2" s="2" t="s">
        <v>158</v>
      </c>
      <c r="AK2" s="3" t="s">
        <v>159</v>
      </c>
      <c r="AL2" s="4"/>
    </row>
    <row r="3" spans="1:38" x14ac:dyDescent="0.3">
      <c r="A3" s="17" t="s">
        <v>35</v>
      </c>
      <c r="B3" s="18" t="s">
        <v>36</v>
      </c>
      <c r="C3" s="6">
        <v>322677.34999999998</v>
      </c>
      <c r="D3" s="6">
        <v>236674.13</v>
      </c>
      <c r="E3" s="6">
        <v>42043.42</v>
      </c>
      <c r="F3" s="6">
        <v>34315.910000000003</v>
      </c>
      <c r="G3" s="9"/>
      <c r="H3" s="6">
        <v>7182.39</v>
      </c>
      <c r="I3" s="6">
        <v>46359.35</v>
      </c>
      <c r="J3" s="6">
        <v>4105.95</v>
      </c>
      <c r="K3" s="6">
        <v>11109.51</v>
      </c>
      <c r="L3" s="6">
        <v>1767.82</v>
      </c>
      <c r="M3" s="6">
        <v>174.36</v>
      </c>
      <c r="N3" s="6">
        <v>1156.26</v>
      </c>
      <c r="O3" s="5">
        <f>SUM(H3:N3)</f>
        <v>71855.64</v>
      </c>
      <c r="P3" s="5">
        <f>SUM(O3,E3)</f>
        <v>113899.06</v>
      </c>
      <c r="Q3" s="6">
        <v>34291.99</v>
      </c>
      <c r="R3" s="6">
        <v>598.63</v>
      </c>
      <c r="S3" s="6">
        <v>235.98</v>
      </c>
      <c r="T3" s="6">
        <v>13.82</v>
      </c>
      <c r="U3" s="6">
        <v>1281.6400000000001</v>
      </c>
      <c r="V3" s="6">
        <v>329.56</v>
      </c>
      <c r="W3" s="6">
        <v>9268.0300000000007</v>
      </c>
      <c r="X3" s="6">
        <v>378.72</v>
      </c>
      <c r="Y3" s="6">
        <v>270.52</v>
      </c>
      <c r="Z3" s="6">
        <v>64.790000000000006</v>
      </c>
      <c r="AA3" s="6">
        <v>457.88</v>
      </c>
      <c r="AB3" s="6">
        <v>3321.58</v>
      </c>
      <c r="AC3" s="6">
        <v>4279.46</v>
      </c>
      <c r="AD3" s="6">
        <v>2928.41</v>
      </c>
      <c r="AE3" s="6">
        <v>10862.97</v>
      </c>
      <c r="AF3" s="6">
        <f>SUM(AG3,AH3)</f>
        <v>20249.919999999998</v>
      </c>
      <c r="AG3" s="6">
        <v>7847.77</v>
      </c>
      <c r="AH3" s="6">
        <v>12402.15</v>
      </c>
      <c r="AI3" s="6">
        <v>14056.59</v>
      </c>
      <c r="AJ3" s="6">
        <v>60368.43</v>
      </c>
      <c r="AK3" s="6">
        <v>990.53</v>
      </c>
    </row>
    <row r="4" spans="1:38" x14ac:dyDescent="0.3">
      <c r="A4" s="17" t="s">
        <v>37</v>
      </c>
      <c r="B4" s="19" t="s">
        <v>38</v>
      </c>
      <c r="C4" s="6">
        <v>12921.33</v>
      </c>
      <c r="D4" s="6">
        <v>8428.59</v>
      </c>
      <c r="E4" s="6">
        <v>1692.85</v>
      </c>
      <c r="F4" s="6">
        <v>1191.69</v>
      </c>
      <c r="G4" s="9"/>
      <c r="H4" s="6">
        <v>490.32</v>
      </c>
      <c r="I4" s="6">
        <v>187.4</v>
      </c>
      <c r="J4" s="6">
        <v>36.47</v>
      </c>
      <c r="K4" s="6">
        <v>25.83</v>
      </c>
      <c r="L4" s="6">
        <v>3.6</v>
      </c>
      <c r="M4" s="6">
        <v>2.0099999999999998</v>
      </c>
      <c r="N4" s="6">
        <v>0.66</v>
      </c>
      <c r="O4" s="5">
        <f t="shared" ref="O4:O47" si="0">SUM(H4:N4)</f>
        <v>746.29000000000008</v>
      </c>
      <c r="P4" s="5">
        <f t="shared" ref="P4:P47" si="1">SUM(O4,E4)</f>
        <v>2439.14</v>
      </c>
      <c r="Q4" s="6">
        <v>1248.93</v>
      </c>
      <c r="R4" s="6">
        <v>353.85</v>
      </c>
      <c r="S4" s="6">
        <v>20.440000000000001</v>
      </c>
      <c r="T4" s="6">
        <v>1.53</v>
      </c>
      <c r="U4" s="6">
        <v>549.46</v>
      </c>
      <c r="V4" s="6">
        <v>1.61</v>
      </c>
      <c r="W4" s="6">
        <v>213.9</v>
      </c>
      <c r="X4" s="6">
        <v>3.05</v>
      </c>
      <c r="Y4" s="9"/>
      <c r="Z4" s="9"/>
      <c r="AA4" s="6">
        <v>1.76</v>
      </c>
      <c r="AB4" s="6">
        <v>1.0900000000000001</v>
      </c>
      <c r="AC4" s="6">
        <v>62.86</v>
      </c>
      <c r="AD4" s="6">
        <v>16.7</v>
      </c>
      <c r="AE4" s="6">
        <v>22.68</v>
      </c>
      <c r="AF4" s="6">
        <f t="shared" ref="AF4:AF47" si="2">SUM(AG4,AH4)</f>
        <v>1863.34</v>
      </c>
      <c r="AG4" s="6">
        <v>1784.62</v>
      </c>
      <c r="AH4" s="6">
        <v>78.72</v>
      </c>
      <c r="AI4" s="6">
        <v>204.07</v>
      </c>
      <c r="AJ4" s="6">
        <v>3153.59</v>
      </c>
      <c r="AK4" s="6">
        <v>9.85</v>
      </c>
    </row>
    <row r="5" spans="1:38" ht="52" x14ac:dyDescent="0.3">
      <c r="A5" s="20" t="s">
        <v>39</v>
      </c>
      <c r="B5" s="21" t="s">
        <v>40</v>
      </c>
      <c r="C5" s="6">
        <v>4621.67</v>
      </c>
      <c r="D5" s="6">
        <v>3030.46</v>
      </c>
      <c r="E5" s="6">
        <v>1240.31</v>
      </c>
      <c r="F5" s="6">
        <v>769.07</v>
      </c>
      <c r="G5" s="9"/>
      <c r="H5" s="6">
        <v>468.72</v>
      </c>
      <c r="I5" s="6">
        <v>4.7699999999999996</v>
      </c>
      <c r="J5" s="6">
        <v>5.41</v>
      </c>
      <c r="K5" s="6">
        <v>0.5</v>
      </c>
      <c r="L5" s="9"/>
      <c r="M5" s="6">
        <v>2.0099999999999998</v>
      </c>
      <c r="N5" s="6">
        <v>0.66</v>
      </c>
      <c r="O5" s="5">
        <f t="shared" si="0"/>
        <v>482.07000000000005</v>
      </c>
      <c r="P5" s="5">
        <f t="shared" si="1"/>
        <v>1722.38</v>
      </c>
      <c r="Q5" s="6">
        <v>500.09</v>
      </c>
      <c r="R5" s="6">
        <v>0.12</v>
      </c>
      <c r="S5" s="6">
        <v>4.74</v>
      </c>
      <c r="T5" s="6">
        <v>0.9</v>
      </c>
      <c r="U5" s="6">
        <v>214.81</v>
      </c>
      <c r="V5" s="6">
        <v>0.28000000000000003</v>
      </c>
      <c r="W5" s="6">
        <v>213.9</v>
      </c>
      <c r="X5" s="6">
        <v>1.73</v>
      </c>
      <c r="Y5" s="9"/>
      <c r="Z5" s="9"/>
      <c r="AA5" s="6">
        <v>0.47</v>
      </c>
      <c r="AB5" s="6"/>
      <c r="AC5" s="6">
        <v>62.48</v>
      </c>
      <c r="AD5" s="6"/>
      <c r="AE5" s="6">
        <v>0.67</v>
      </c>
      <c r="AF5" s="6">
        <f t="shared" si="2"/>
        <v>137.27000000000001</v>
      </c>
      <c r="AG5" s="6">
        <v>110.48</v>
      </c>
      <c r="AH5" s="6">
        <v>26.79</v>
      </c>
      <c r="AI5" s="6">
        <v>21.4</v>
      </c>
      <c r="AJ5" s="6">
        <v>1116.93</v>
      </c>
      <c r="AK5" s="6">
        <v>1.1299999999999999</v>
      </c>
    </row>
    <row r="6" spans="1:38" ht="91" x14ac:dyDescent="0.3">
      <c r="A6" s="20" t="s">
        <v>41</v>
      </c>
      <c r="B6" s="21" t="s">
        <v>42</v>
      </c>
      <c r="C6" s="6">
        <v>3593.39</v>
      </c>
      <c r="D6" s="6">
        <v>2782.16</v>
      </c>
      <c r="E6" s="6">
        <v>49.1</v>
      </c>
      <c r="F6" s="6">
        <v>49.1</v>
      </c>
      <c r="G6" s="9"/>
      <c r="H6" s="9"/>
      <c r="I6" s="9"/>
      <c r="J6" s="9"/>
      <c r="K6" s="9"/>
      <c r="L6" s="9"/>
      <c r="M6" s="9"/>
      <c r="N6" s="9"/>
      <c r="O6" s="5">
        <f t="shared" si="0"/>
        <v>0</v>
      </c>
      <c r="P6" s="5">
        <f t="shared" si="1"/>
        <v>49.1</v>
      </c>
      <c r="Q6" s="6">
        <v>437.32</v>
      </c>
      <c r="R6" s="6">
        <v>353.6</v>
      </c>
      <c r="S6" s="6">
        <v>8.31</v>
      </c>
      <c r="T6" s="9"/>
      <c r="U6" s="6">
        <v>36.43</v>
      </c>
      <c r="V6" s="6">
        <v>0.42</v>
      </c>
      <c r="W6" s="9"/>
      <c r="X6" s="6">
        <v>0.01</v>
      </c>
      <c r="Y6" s="9"/>
      <c r="Z6" s="9"/>
      <c r="AA6" s="6"/>
      <c r="AB6" s="6"/>
      <c r="AC6" s="6">
        <v>0.17</v>
      </c>
      <c r="AD6" s="6">
        <v>16.7</v>
      </c>
      <c r="AE6" s="6">
        <v>21.69</v>
      </c>
      <c r="AF6" s="6">
        <f t="shared" si="2"/>
        <v>1634.74</v>
      </c>
      <c r="AG6" s="6">
        <v>1614.22</v>
      </c>
      <c r="AH6" s="6">
        <v>20.52</v>
      </c>
      <c r="AI6" s="6">
        <v>91.57</v>
      </c>
      <c r="AJ6" s="6">
        <v>569.42999999999995</v>
      </c>
      <c r="AK6" s="6"/>
    </row>
    <row r="7" spans="1:38" ht="91" x14ac:dyDescent="0.3">
      <c r="A7" s="20" t="s">
        <v>43</v>
      </c>
      <c r="B7" s="21" t="s">
        <v>44</v>
      </c>
      <c r="C7" s="6">
        <v>1728.07</v>
      </c>
      <c r="D7" s="6">
        <v>944.66</v>
      </c>
      <c r="E7" s="6">
        <v>128.88999999999999</v>
      </c>
      <c r="F7" s="6">
        <v>121.31</v>
      </c>
      <c r="G7" s="9"/>
      <c r="H7" s="6">
        <v>2.77</v>
      </c>
      <c r="I7" s="6">
        <v>164.78</v>
      </c>
      <c r="J7" s="6">
        <v>15.8</v>
      </c>
      <c r="K7" s="6">
        <v>25.33</v>
      </c>
      <c r="L7" s="6">
        <v>0.28000000000000003</v>
      </c>
      <c r="M7" s="9"/>
      <c r="N7" s="9"/>
      <c r="O7" s="5">
        <f t="shared" si="0"/>
        <v>208.96</v>
      </c>
      <c r="P7" s="5">
        <f t="shared" si="1"/>
        <v>337.85</v>
      </c>
      <c r="Q7" s="6">
        <v>52.16</v>
      </c>
      <c r="R7" s="9"/>
      <c r="S7" s="6">
        <v>0.88</v>
      </c>
      <c r="T7" s="6">
        <v>0.01</v>
      </c>
      <c r="U7" s="6">
        <v>50.84</v>
      </c>
      <c r="V7" s="6">
        <v>0.01</v>
      </c>
      <c r="W7" s="9"/>
      <c r="X7" s="6">
        <v>0.41</v>
      </c>
      <c r="Y7" s="9"/>
      <c r="Z7" s="9"/>
      <c r="AA7" s="6"/>
      <c r="AB7" s="6"/>
      <c r="AC7" s="6"/>
      <c r="AD7" s="6"/>
      <c r="AE7" s="6">
        <v>0.01</v>
      </c>
      <c r="AF7" s="6">
        <f t="shared" si="2"/>
        <v>0.68</v>
      </c>
      <c r="AG7" s="6">
        <v>0.68</v>
      </c>
      <c r="AH7" s="6"/>
      <c r="AI7" s="6">
        <v>4.45</v>
      </c>
      <c r="AJ7" s="6">
        <v>549.9</v>
      </c>
      <c r="AK7" s="6">
        <v>2.39</v>
      </c>
    </row>
    <row r="8" spans="1:38" ht="91" x14ac:dyDescent="0.3">
      <c r="A8" s="20" t="s">
        <v>45</v>
      </c>
      <c r="B8" s="21" t="s">
        <v>46</v>
      </c>
      <c r="C8" s="6">
        <v>1089.22</v>
      </c>
      <c r="D8" s="6">
        <v>512.36</v>
      </c>
      <c r="E8" s="6">
        <v>53.54</v>
      </c>
      <c r="F8" s="6">
        <v>52.86</v>
      </c>
      <c r="G8" s="9"/>
      <c r="H8" s="6">
        <v>0.68</v>
      </c>
      <c r="I8" s="6">
        <v>3.54</v>
      </c>
      <c r="J8" s="6">
        <v>5.76</v>
      </c>
      <c r="K8" s="9"/>
      <c r="L8" s="9"/>
      <c r="M8" s="9"/>
      <c r="N8" s="9"/>
      <c r="O8" s="5">
        <f t="shared" si="0"/>
        <v>9.98</v>
      </c>
      <c r="P8" s="5">
        <f t="shared" si="1"/>
        <v>63.519999999999996</v>
      </c>
      <c r="Q8" s="6">
        <v>27.94</v>
      </c>
      <c r="R8" s="9"/>
      <c r="S8" s="6">
        <v>1.57</v>
      </c>
      <c r="T8" s="6">
        <v>0.6</v>
      </c>
      <c r="U8" s="6">
        <v>24.14</v>
      </c>
      <c r="V8" s="6">
        <v>0.74</v>
      </c>
      <c r="W8" s="9"/>
      <c r="X8" s="6">
        <v>0.05</v>
      </c>
      <c r="Y8" s="9"/>
      <c r="Z8" s="9"/>
      <c r="AA8" s="6">
        <v>0.52</v>
      </c>
      <c r="AB8" s="6">
        <v>0.33</v>
      </c>
      <c r="AC8" s="6"/>
      <c r="AD8" s="6"/>
      <c r="AE8" s="6"/>
      <c r="AF8" s="6">
        <f t="shared" si="2"/>
        <v>10.63</v>
      </c>
      <c r="AG8" s="6">
        <v>10.63</v>
      </c>
      <c r="AH8" s="6"/>
      <c r="AI8" s="6">
        <v>0.01</v>
      </c>
      <c r="AJ8" s="6">
        <v>404.92</v>
      </c>
      <c r="AK8" s="6">
        <v>6.01</v>
      </c>
    </row>
    <row r="9" spans="1:38" ht="78" x14ac:dyDescent="0.3">
      <c r="A9" s="20" t="s">
        <v>47</v>
      </c>
      <c r="B9" s="21" t="s">
        <v>48</v>
      </c>
      <c r="C9" s="6">
        <v>1104.47</v>
      </c>
      <c r="D9" s="6">
        <v>709.3</v>
      </c>
      <c r="E9" s="6">
        <v>212.27</v>
      </c>
      <c r="F9" s="6">
        <v>190.6</v>
      </c>
      <c r="G9" s="9"/>
      <c r="H9" s="6">
        <v>18.16</v>
      </c>
      <c r="I9" s="6">
        <v>14.31</v>
      </c>
      <c r="J9" s="6">
        <v>9.5</v>
      </c>
      <c r="K9" s="9"/>
      <c r="L9" s="6">
        <v>3.32</v>
      </c>
      <c r="M9" s="9"/>
      <c r="N9" s="9"/>
      <c r="O9" s="5">
        <f t="shared" si="0"/>
        <v>45.29</v>
      </c>
      <c r="P9" s="5">
        <f t="shared" si="1"/>
        <v>257.56</v>
      </c>
      <c r="Q9" s="6">
        <v>72.849999999999994</v>
      </c>
      <c r="R9" s="9"/>
      <c r="S9" s="6">
        <v>1.1399999999999999</v>
      </c>
      <c r="T9" s="6">
        <v>0.02</v>
      </c>
      <c r="U9" s="6">
        <v>69.67</v>
      </c>
      <c r="V9" s="6">
        <v>0.05</v>
      </c>
      <c r="W9" s="9"/>
      <c r="X9" s="6">
        <v>0.23</v>
      </c>
      <c r="Y9" s="9"/>
      <c r="Z9" s="9"/>
      <c r="AA9" s="6">
        <v>0.77</v>
      </c>
      <c r="AB9" s="6">
        <v>0.76</v>
      </c>
      <c r="AC9" s="6">
        <v>0.11</v>
      </c>
      <c r="AD9" s="6"/>
      <c r="AE9" s="6">
        <v>0.1</v>
      </c>
      <c r="AF9" s="6">
        <f t="shared" si="2"/>
        <v>41.269999999999996</v>
      </c>
      <c r="AG9" s="6">
        <v>10.73</v>
      </c>
      <c r="AH9" s="6">
        <v>30.54</v>
      </c>
      <c r="AI9" s="6">
        <v>78.069999999999993</v>
      </c>
      <c r="AJ9" s="6">
        <v>277.38</v>
      </c>
      <c r="AK9" s="6">
        <v>0.33</v>
      </c>
    </row>
    <row r="10" spans="1:38" ht="91" x14ac:dyDescent="0.3">
      <c r="A10" s="20" t="s">
        <v>49</v>
      </c>
      <c r="B10" s="21" t="s">
        <v>50</v>
      </c>
      <c r="C10" s="6">
        <v>296.10000000000002</v>
      </c>
      <c r="D10" s="6">
        <v>244.39</v>
      </c>
      <c r="E10" s="6">
        <v>2.52</v>
      </c>
      <c r="F10" s="6">
        <v>2.52</v>
      </c>
      <c r="G10" s="9"/>
      <c r="H10" s="9"/>
      <c r="I10" s="9"/>
      <c r="J10" s="9"/>
      <c r="K10" s="9"/>
      <c r="L10" s="9"/>
      <c r="M10" s="9"/>
      <c r="N10" s="9"/>
      <c r="O10" s="5">
        <f t="shared" si="0"/>
        <v>0</v>
      </c>
      <c r="P10" s="5">
        <f t="shared" si="1"/>
        <v>2.52</v>
      </c>
      <c r="Q10" s="6">
        <v>158.22999999999999</v>
      </c>
      <c r="R10" s="6">
        <v>0.13</v>
      </c>
      <c r="S10" s="6">
        <v>3.81</v>
      </c>
      <c r="T10" s="9"/>
      <c r="U10" s="6">
        <v>153.24</v>
      </c>
      <c r="V10" s="6">
        <v>0.1</v>
      </c>
      <c r="W10" s="9"/>
      <c r="X10" s="6">
        <v>0.62</v>
      </c>
      <c r="Y10" s="9"/>
      <c r="Z10" s="9"/>
      <c r="AA10" s="6"/>
      <c r="AB10" s="6"/>
      <c r="AC10" s="6">
        <v>0.11</v>
      </c>
      <c r="AD10" s="6"/>
      <c r="AE10" s="6">
        <v>0.23</v>
      </c>
      <c r="AF10" s="6">
        <f t="shared" si="2"/>
        <v>38.770000000000003</v>
      </c>
      <c r="AG10" s="6">
        <v>37.89</v>
      </c>
      <c r="AH10" s="6">
        <v>0.88</v>
      </c>
      <c r="AI10" s="6">
        <v>8.56</v>
      </c>
      <c r="AJ10" s="6">
        <v>36.299999999999997</v>
      </c>
      <c r="AK10" s="6"/>
    </row>
    <row r="11" spans="1:38" ht="39" x14ac:dyDescent="0.3">
      <c r="A11" s="20" t="s">
        <v>51</v>
      </c>
      <c r="B11" s="21" t="s">
        <v>52</v>
      </c>
      <c r="C11" s="6">
        <v>488.4</v>
      </c>
      <c r="D11" s="6">
        <v>205.28</v>
      </c>
      <c r="E11" s="6">
        <v>6.21</v>
      </c>
      <c r="F11" s="6">
        <v>6.21</v>
      </c>
      <c r="G11" s="9"/>
      <c r="H11" s="9"/>
      <c r="I11" s="9"/>
      <c r="J11" s="9"/>
      <c r="K11" s="9"/>
      <c r="L11" s="9"/>
      <c r="M11" s="9"/>
      <c r="N11" s="9"/>
      <c r="O11" s="5">
        <f t="shared" si="0"/>
        <v>0</v>
      </c>
      <c r="P11" s="5">
        <f t="shared" si="1"/>
        <v>6.21</v>
      </c>
      <c r="Q11" s="6">
        <v>0.33</v>
      </c>
      <c r="R11" s="9"/>
      <c r="S11" s="9"/>
      <c r="T11" s="9"/>
      <c r="U11" s="6">
        <v>0.33</v>
      </c>
      <c r="V11" s="9"/>
      <c r="W11" s="9"/>
      <c r="X11" s="9"/>
      <c r="Y11" s="9"/>
      <c r="Z11" s="9"/>
      <c r="AA11" s="6"/>
      <c r="AB11" s="6"/>
      <c r="AC11" s="6"/>
      <c r="AD11" s="6"/>
      <c r="AE11" s="6"/>
      <c r="AF11" s="6">
        <f t="shared" si="2"/>
        <v>0</v>
      </c>
      <c r="AG11" s="6"/>
      <c r="AH11" s="6"/>
      <c r="AI11" s="6"/>
      <c r="AJ11" s="6">
        <v>198.74</v>
      </c>
      <c r="AK11" s="6"/>
    </row>
    <row r="12" spans="1:38" ht="26" x14ac:dyDescent="0.3">
      <c r="A12" s="17" t="s">
        <v>53</v>
      </c>
      <c r="B12" s="19" t="s">
        <v>54</v>
      </c>
      <c r="C12" s="6">
        <v>288536.65000000002</v>
      </c>
      <c r="D12" s="6">
        <v>218758.1</v>
      </c>
      <c r="E12" s="6">
        <v>39973.75</v>
      </c>
      <c r="F12" s="6">
        <v>32755.66</v>
      </c>
      <c r="G12" s="9"/>
      <c r="H12" s="6">
        <v>6691.53</v>
      </c>
      <c r="I12" s="6">
        <v>46074.35</v>
      </c>
      <c r="J12" s="6">
        <v>4059.39</v>
      </c>
      <c r="K12" s="6">
        <v>11081.41</v>
      </c>
      <c r="L12" s="6">
        <v>1764.22</v>
      </c>
      <c r="M12" s="6">
        <v>171.85</v>
      </c>
      <c r="N12" s="6">
        <v>1155.32</v>
      </c>
      <c r="O12" s="5">
        <f t="shared" si="0"/>
        <v>70998.070000000007</v>
      </c>
      <c r="P12" s="5">
        <f t="shared" si="1"/>
        <v>110971.82</v>
      </c>
      <c r="Q12" s="6">
        <v>32982.75</v>
      </c>
      <c r="R12" s="6">
        <v>244.51</v>
      </c>
      <c r="S12" s="6">
        <v>189.54</v>
      </c>
      <c r="T12" s="6">
        <v>12.29</v>
      </c>
      <c r="U12" s="6">
        <v>702.32</v>
      </c>
      <c r="V12" s="6">
        <v>326.83</v>
      </c>
      <c r="W12" s="6">
        <v>9054.1299999999992</v>
      </c>
      <c r="X12" s="6">
        <v>375.16</v>
      </c>
      <c r="Y12" s="6">
        <v>270.5</v>
      </c>
      <c r="Z12" s="6">
        <v>64.790000000000006</v>
      </c>
      <c r="AA12" s="6">
        <v>456.11</v>
      </c>
      <c r="AB12" s="6">
        <v>3320.47</v>
      </c>
      <c r="AC12" s="6">
        <v>4216.21</v>
      </c>
      <c r="AD12" s="6">
        <v>2909.88</v>
      </c>
      <c r="AE12" s="6">
        <v>10840</v>
      </c>
      <c r="AF12" s="6">
        <f t="shared" si="2"/>
        <v>18181.2</v>
      </c>
      <c r="AG12" s="6">
        <v>5976.03</v>
      </c>
      <c r="AH12" s="6">
        <v>12205.17</v>
      </c>
      <c r="AI12" s="6">
        <v>13363.01</v>
      </c>
      <c r="AJ12" s="6">
        <v>48979.8</v>
      </c>
      <c r="AK12" s="6">
        <v>971.06</v>
      </c>
    </row>
    <row r="13" spans="1:38" ht="91" x14ac:dyDescent="0.3">
      <c r="A13" s="20" t="s">
        <v>55</v>
      </c>
      <c r="B13" s="21" t="s">
        <v>56</v>
      </c>
      <c r="C13" s="6">
        <v>3950.36</v>
      </c>
      <c r="D13" s="6">
        <v>2475.39</v>
      </c>
      <c r="E13" s="6">
        <v>527.85</v>
      </c>
      <c r="F13" s="6">
        <v>488.83</v>
      </c>
      <c r="G13" s="9"/>
      <c r="H13" s="6">
        <v>36.479999999999997</v>
      </c>
      <c r="I13" s="6">
        <v>13.6</v>
      </c>
      <c r="J13" s="6">
        <v>0.18</v>
      </c>
      <c r="K13" s="9"/>
      <c r="L13" s="9"/>
      <c r="M13" s="6">
        <v>0.24</v>
      </c>
      <c r="N13" s="9"/>
      <c r="O13" s="5">
        <f t="shared" si="0"/>
        <v>50.5</v>
      </c>
      <c r="P13" s="5">
        <f t="shared" si="1"/>
        <v>578.35</v>
      </c>
      <c r="Q13" s="6">
        <v>30.44</v>
      </c>
      <c r="R13" s="9"/>
      <c r="S13" s="6">
        <v>7.14</v>
      </c>
      <c r="T13" s="6">
        <v>0.05</v>
      </c>
      <c r="U13" s="6">
        <v>17.97</v>
      </c>
      <c r="V13" s="6">
        <v>1.33</v>
      </c>
      <c r="W13" s="9"/>
      <c r="X13" s="6">
        <v>0.04</v>
      </c>
      <c r="Y13" s="6">
        <v>0.02</v>
      </c>
      <c r="Z13" s="6">
        <v>1.97</v>
      </c>
      <c r="AA13" s="6"/>
      <c r="AB13" s="6"/>
      <c r="AC13" s="6">
        <v>1.67</v>
      </c>
      <c r="AD13" s="6"/>
      <c r="AE13" s="6">
        <v>0.25</v>
      </c>
      <c r="AF13" s="6">
        <f t="shared" si="2"/>
        <v>383.13</v>
      </c>
      <c r="AG13" s="6">
        <v>53.65</v>
      </c>
      <c r="AH13" s="6">
        <v>329.48</v>
      </c>
      <c r="AI13" s="6">
        <v>297.8</v>
      </c>
      <c r="AJ13" s="6">
        <v>1035.3399999999999</v>
      </c>
      <c r="AK13" s="6">
        <v>186.82</v>
      </c>
    </row>
    <row r="14" spans="1:38" ht="52" x14ac:dyDescent="0.3">
      <c r="A14" s="20" t="s">
        <v>57</v>
      </c>
      <c r="B14" s="21" t="s">
        <v>58</v>
      </c>
      <c r="C14" s="6">
        <v>2092.87</v>
      </c>
      <c r="D14" s="6">
        <v>1507.92</v>
      </c>
      <c r="E14" s="6">
        <v>406.06</v>
      </c>
      <c r="F14" s="6">
        <v>400.57</v>
      </c>
      <c r="G14" s="9"/>
      <c r="H14" s="6">
        <v>1.57</v>
      </c>
      <c r="I14" s="6">
        <v>1.79</v>
      </c>
      <c r="J14" s="9"/>
      <c r="K14" s="9"/>
      <c r="L14" s="9"/>
      <c r="M14" s="9"/>
      <c r="N14" s="9"/>
      <c r="O14" s="5">
        <f t="shared" si="0"/>
        <v>3.3600000000000003</v>
      </c>
      <c r="P14" s="5">
        <f t="shared" si="1"/>
        <v>409.42</v>
      </c>
      <c r="Q14" s="6">
        <v>16.73</v>
      </c>
      <c r="R14" s="9"/>
      <c r="S14" s="6">
        <v>5.42</v>
      </c>
      <c r="T14" s="6">
        <v>0.02</v>
      </c>
      <c r="U14" s="6">
        <v>7.3</v>
      </c>
      <c r="V14" s="6">
        <v>0.62</v>
      </c>
      <c r="W14" s="9"/>
      <c r="X14" s="6">
        <v>0.01</v>
      </c>
      <c r="Y14" s="9"/>
      <c r="Z14" s="9"/>
      <c r="AA14" s="6"/>
      <c r="AB14" s="6"/>
      <c r="AC14" s="6">
        <v>2.0699999999999998</v>
      </c>
      <c r="AD14" s="6"/>
      <c r="AE14" s="6">
        <v>1.29</v>
      </c>
      <c r="AF14" s="6">
        <f t="shared" si="2"/>
        <v>334.19</v>
      </c>
      <c r="AG14" s="6">
        <v>176.97</v>
      </c>
      <c r="AH14" s="6">
        <v>157.22</v>
      </c>
      <c r="AI14" s="6">
        <v>299.93</v>
      </c>
      <c r="AJ14" s="6">
        <v>410.6</v>
      </c>
      <c r="AK14" s="6">
        <v>38.619999999999997</v>
      </c>
    </row>
    <row r="15" spans="1:38" ht="104" x14ac:dyDescent="0.3">
      <c r="A15" s="20" t="s">
        <v>59</v>
      </c>
      <c r="B15" s="21" t="s">
        <v>60</v>
      </c>
      <c r="C15" s="6">
        <v>1192.1600000000001</v>
      </c>
      <c r="D15" s="6">
        <v>883.9</v>
      </c>
      <c r="E15" s="6">
        <v>254.33</v>
      </c>
      <c r="F15" s="6">
        <v>250.52</v>
      </c>
      <c r="G15" s="9"/>
      <c r="H15" s="6">
        <v>2.69</v>
      </c>
      <c r="I15" s="6">
        <v>0.01</v>
      </c>
      <c r="J15" s="6">
        <v>0.09</v>
      </c>
      <c r="K15" s="9"/>
      <c r="L15" s="6">
        <v>0.01</v>
      </c>
      <c r="M15" s="6">
        <v>0.03</v>
      </c>
      <c r="N15" s="6">
        <v>0.01</v>
      </c>
      <c r="O15" s="5">
        <f t="shared" si="0"/>
        <v>2.839999999999999</v>
      </c>
      <c r="P15" s="5">
        <f t="shared" si="1"/>
        <v>257.17</v>
      </c>
      <c r="Q15" s="6">
        <v>8.66</v>
      </c>
      <c r="R15" s="9"/>
      <c r="S15" s="6">
        <v>2.68</v>
      </c>
      <c r="T15" s="9"/>
      <c r="U15" s="6">
        <v>4.21</v>
      </c>
      <c r="V15" s="6">
        <v>0.55000000000000004</v>
      </c>
      <c r="W15" s="9"/>
      <c r="X15" s="6">
        <v>0.02</v>
      </c>
      <c r="Y15" s="9"/>
      <c r="Z15" s="9"/>
      <c r="AA15" s="6"/>
      <c r="AB15" s="6"/>
      <c r="AC15" s="6">
        <v>1.2</v>
      </c>
      <c r="AD15" s="6"/>
      <c r="AE15" s="6">
        <v>0.01</v>
      </c>
      <c r="AF15" s="6">
        <f t="shared" si="2"/>
        <v>188.4</v>
      </c>
      <c r="AG15" s="6">
        <v>127.28</v>
      </c>
      <c r="AH15" s="6">
        <v>61.12</v>
      </c>
      <c r="AI15" s="6">
        <v>200.84</v>
      </c>
      <c r="AJ15" s="6">
        <v>216.38</v>
      </c>
      <c r="AK15" s="6">
        <v>15.13</v>
      </c>
    </row>
    <row r="16" spans="1:38" ht="52" x14ac:dyDescent="0.3">
      <c r="A16" s="20" t="s">
        <v>61</v>
      </c>
      <c r="B16" s="21" t="s">
        <v>62</v>
      </c>
      <c r="C16" s="6">
        <v>179.81</v>
      </c>
      <c r="D16" s="6">
        <v>90.75</v>
      </c>
      <c r="E16" s="6">
        <v>3.09</v>
      </c>
      <c r="F16" s="6">
        <v>3.09</v>
      </c>
      <c r="G16" s="9"/>
      <c r="H16" s="9"/>
      <c r="I16" s="9"/>
      <c r="J16" s="9"/>
      <c r="K16" s="9"/>
      <c r="L16" s="9"/>
      <c r="M16" s="9"/>
      <c r="N16" s="9"/>
      <c r="O16" s="5">
        <f t="shared" si="0"/>
        <v>0</v>
      </c>
      <c r="P16" s="5">
        <f t="shared" si="1"/>
        <v>3.09</v>
      </c>
      <c r="Q16" s="6">
        <v>1</v>
      </c>
      <c r="R16" s="9"/>
      <c r="S16" s="6">
        <v>0.12</v>
      </c>
      <c r="T16" s="9"/>
      <c r="U16" s="6">
        <v>0.81</v>
      </c>
      <c r="V16" s="9"/>
      <c r="W16" s="9"/>
      <c r="X16" s="9"/>
      <c r="Y16" s="9"/>
      <c r="Z16" s="9"/>
      <c r="AA16" s="6"/>
      <c r="AB16" s="6"/>
      <c r="AC16" s="6">
        <v>0.06</v>
      </c>
      <c r="AD16" s="6"/>
      <c r="AE16" s="6"/>
      <c r="AF16" s="6">
        <f t="shared" si="2"/>
        <v>14.58</v>
      </c>
      <c r="AG16" s="6">
        <v>14.58</v>
      </c>
      <c r="AH16" s="6"/>
      <c r="AI16" s="6">
        <v>7.33</v>
      </c>
      <c r="AJ16" s="6">
        <v>62.52</v>
      </c>
      <c r="AK16" s="6">
        <v>2.23</v>
      </c>
    </row>
    <row r="17" spans="1:37" ht="52" x14ac:dyDescent="0.3">
      <c r="A17" s="20" t="s">
        <v>63</v>
      </c>
      <c r="B17" s="21" t="s">
        <v>64</v>
      </c>
      <c r="C17" s="6">
        <v>6939.37</v>
      </c>
      <c r="D17" s="6">
        <v>4049.75</v>
      </c>
      <c r="E17" s="6">
        <v>207.58</v>
      </c>
      <c r="F17" s="6">
        <v>174.82</v>
      </c>
      <c r="G17" s="9"/>
      <c r="H17" s="6">
        <v>3.93</v>
      </c>
      <c r="I17" s="6">
        <v>3.82</v>
      </c>
      <c r="J17" s="9"/>
      <c r="K17" s="9"/>
      <c r="L17" s="9"/>
      <c r="M17" s="9"/>
      <c r="N17" s="9"/>
      <c r="O17" s="5">
        <f t="shared" si="0"/>
        <v>7.75</v>
      </c>
      <c r="P17" s="5">
        <f t="shared" si="1"/>
        <v>215.33</v>
      </c>
      <c r="Q17" s="6">
        <v>17.34</v>
      </c>
      <c r="R17" s="9"/>
      <c r="S17" s="6">
        <v>4.8099999999999996</v>
      </c>
      <c r="T17" s="6">
        <v>0.02</v>
      </c>
      <c r="U17" s="6">
        <v>5.54</v>
      </c>
      <c r="V17" s="6">
        <v>1.67</v>
      </c>
      <c r="W17" s="9"/>
      <c r="X17" s="6">
        <v>0.15</v>
      </c>
      <c r="Y17" s="9"/>
      <c r="Z17" s="9"/>
      <c r="AA17" s="6">
        <v>2.06</v>
      </c>
      <c r="AB17" s="6"/>
      <c r="AC17" s="6">
        <v>2.34</v>
      </c>
      <c r="AD17" s="6"/>
      <c r="AE17" s="6">
        <v>0.75</v>
      </c>
      <c r="AF17" s="6">
        <f t="shared" si="2"/>
        <v>647.72</v>
      </c>
      <c r="AG17" s="6">
        <v>202.85</v>
      </c>
      <c r="AH17" s="6">
        <v>444.87</v>
      </c>
      <c r="AI17" s="6">
        <v>1092.9000000000001</v>
      </c>
      <c r="AJ17" s="6">
        <v>2028.32</v>
      </c>
      <c r="AK17" s="6">
        <v>52.08</v>
      </c>
    </row>
    <row r="18" spans="1:37" ht="117" x14ac:dyDescent="0.3">
      <c r="A18" s="20" t="s">
        <v>65</v>
      </c>
      <c r="B18" s="21" t="s">
        <v>66</v>
      </c>
      <c r="C18" s="6">
        <v>851.69</v>
      </c>
      <c r="D18" s="6">
        <v>466.07</v>
      </c>
      <c r="E18" s="6">
        <v>22.05</v>
      </c>
      <c r="F18" s="6">
        <v>21.84</v>
      </c>
      <c r="G18" s="9"/>
      <c r="H18" s="6">
        <v>0.16</v>
      </c>
      <c r="I18" s="6">
        <v>0.04</v>
      </c>
      <c r="J18" s="9"/>
      <c r="K18" s="9"/>
      <c r="L18" s="9"/>
      <c r="M18" s="9"/>
      <c r="N18" s="9"/>
      <c r="O18" s="5">
        <f t="shared" si="0"/>
        <v>0.2</v>
      </c>
      <c r="P18" s="5">
        <f t="shared" si="1"/>
        <v>22.25</v>
      </c>
      <c r="Q18" s="6">
        <v>8.19</v>
      </c>
      <c r="R18" s="9"/>
      <c r="S18" s="6">
        <v>4.25</v>
      </c>
      <c r="T18" s="9"/>
      <c r="U18" s="6">
        <v>3.15</v>
      </c>
      <c r="V18" s="6">
        <v>0.36</v>
      </c>
      <c r="W18" s="9"/>
      <c r="X18" s="6">
        <v>0.03</v>
      </c>
      <c r="Y18" s="9"/>
      <c r="Z18" s="9"/>
      <c r="AA18" s="6"/>
      <c r="AB18" s="6"/>
      <c r="AC18" s="6">
        <v>0.35</v>
      </c>
      <c r="AD18" s="6"/>
      <c r="AE18" s="6">
        <v>0.04</v>
      </c>
      <c r="AF18" s="6">
        <f t="shared" si="2"/>
        <v>147.9</v>
      </c>
      <c r="AG18" s="6">
        <v>12.87</v>
      </c>
      <c r="AH18" s="6">
        <v>135.03</v>
      </c>
      <c r="AI18" s="6">
        <v>10.96</v>
      </c>
      <c r="AJ18" s="6">
        <v>270.68</v>
      </c>
      <c r="AK18" s="6">
        <v>6.26</v>
      </c>
    </row>
    <row r="19" spans="1:37" ht="130" x14ac:dyDescent="0.3">
      <c r="A19" s="20" t="s">
        <v>67</v>
      </c>
      <c r="B19" s="21" t="s">
        <v>68</v>
      </c>
      <c r="C19" s="6">
        <v>489.29</v>
      </c>
      <c r="D19" s="6">
        <v>242.49</v>
      </c>
      <c r="E19" s="6">
        <v>13.1</v>
      </c>
      <c r="F19" s="6">
        <v>11.82</v>
      </c>
      <c r="G19" s="9"/>
      <c r="H19" s="6">
        <v>0.01</v>
      </c>
      <c r="I19" s="9"/>
      <c r="J19" s="9"/>
      <c r="K19" s="6">
        <v>0.09</v>
      </c>
      <c r="L19" s="9"/>
      <c r="M19" s="9"/>
      <c r="N19" s="9"/>
      <c r="O19" s="5">
        <f t="shared" si="0"/>
        <v>9.9999999999999992E-2</v>
      </c>
      <c r="P19" s="5">
        <f t="shared" si="1"/>
        <v>13.2</v>
      </c>
      <c r="Q19" s="6">
        <v>4.63</v>
      </c>
      <c r="R19" s="9"/>
      <c r="S19" s="6">
        <v>2.2999999999999998</v>
      </c>
      <c r="T19" s="9"/>
      <c r="U19" s="6">
        <v>1.46</v>
      </c>
      <c r="V19" s="6">
        <v>0.2</v>
      </c>
      <c r="W19" s="9"/>
      <c r="X19" s="6">
        <v>0.06</v>
      </c>
      <c r="Y19" s="9"/>
      <c r="Z19" s="6">
        <v>0.15</v>
      </c>
      <c r="AA19" s="6"/>
      <c r="AB19" s="6"/>
      <c r="AC19" s="6">
        <v>0.35</v>
      </c>
      <c r="AD19" s="6"/>
      <c r="AE19" s="6">
        <v>0.1</v>
      </c>
      <c r="AF19" s="6">
        <f t="shared" si="2"/>
        <v>37.39</v>
      </c>
      <c r="AG19" s="6">
        <v>1.43</v>
      </c>
      <c r="AH19" s="6">
        <v>35.96</v>
      </c>
      <c r="AI19" s="6">
        <v>6.3</v>
      </c>
      <c r="AJ19" s="6">
        <v>173.24</v>
      </c>
      <c r="AK19" s="6">
        <v>7.75</v>
      </c>
    </row>
    <row r="20" spans="1:37" ht="169" x14ac:dyDescent="0.3">
      <c r="A20" s="20" t="s">
        <v>69</v>
      </c>
      <c r="B20" s="21" t="s">
        <v>70</v>
      </c>
      <c r="C20" s="6">
        <v>1027.01</v>
      </c>
      <c r="D20" s="6">
        <v>529.79999999999995</v>
      </c>
      <c r="E20" s="6">
        <v>25.64</v>
      </c>
      <c r="F20" s="6">
        <v>25.36</v>
      </c>
      <c r="G20" s="9"/>
      <c r="H20" s="6">
        <v>0.28000000000000003</v>
      </c>
      <c r="I20" s="6">
        <v>0.01</v>
      </c>
      <c r="J20" s="9"/>
      <c r="K20" s="9"/>
      <c r="L20" s="9"/>
      <c r="M20" s="9"/>
      <c r="N20" s="9"/>
      <c r="O20" s="5">
        <f t="shared" si="0"/>
        <v>0.29000000000000004</v>
      </c>
      <c r="P20" s="5">
        <f t="shared" si="1"/>
        <v>25.93</v>
      </c>
      <c r="Q20" s="6">
        <v>10.51</v>
      </c>
      <c r="R20" s="9"/>
      <c r="S20" s="6">
        <v>1.86</v>
      </c>
      <c r="T20" s="9"/>
      <c r="U20" s="6">
        <v>5.65</v>
      </c>
      <c r="V20" s="6">
        <v>0.19</v>
      </c>
      <c r="W20" s="9"/>
      <c r="X20" s="6">
        <v>0.09</v>
      </c>
      <c r="Y20" s="6">
        <v>2.2999999999999998</v>
      </c>
      <c r="Z20" s="9"/>
      <c r="AA20" s="6"/>
      <c r="AB20" s="6"/>
      <c r="AC20" s="6">
        <v>0.41</v>
      </c>
      <c r="AD20" s="6"/>
      <c r="AE20" s="6"/>
      <c r="AF20" s="6">
        <f t="shared" si="2"/>
        <v>39.92</v>
      </c>
      <c r="AG20" s="6">
        <v>35.89</v>
      </c>
      <c r="AH20" s="6">
        <v>4.03</v>
      </c>
      <c r="AI20" s="6">
        <v>23.67</v>
      </c>
      <c r="AJ20" s="6">
        <v>349.01</v>
      </c>
      <c r="AK20" s="6">
        <v>81.03</v>
      </c>
    </row>
    <row r="21" spans="1:37" ht="52" x14ac:dyDescent="0.3">
      <c r="A21" s="20" t="s">
        <v>71</v>
      </c>
      <c r="B21" s="21" t="s">
        <v>72</v>
      </c>
      <c r="C21" s="6">
        <v>394.02</v>
      </c>
      <c r="D21" s="6">
        <v>182.62</v>
      </c>
      <c r="E21" s="6">
        <v>1.4</v>
      </c>
      <c r="F21" s="6">
        <v>1.29</v>
      </c>
      <c r="G21" s="9"/>
      <c r="H21" s="6">
        <v>0.1</v>
      </c>
      <c r="I21" s="6">
        <v>0.06</v>
      </c>
      <c r="J21" s="9"/>
      <c r="K21" s="9"/>
      <c r="L21" s="9"/>
      <c r="M21" s="9"/>
      <c r="N21" s="9"/>
      <c r="O21" s="5">
        <f t="shared" si="0"/>
        <v>0.16</v>
      </c>
      <c r="P21" s="5">
        <f t="shared" si="1"/>
        <v>1.5599999999999998</v>
      </c>
      <c r="Q21" s="6">
        <v>5.67</v>
      </c>
      <c r="R21" s="9"/>
      <c r="S21" s="6">
        <v>2.4</v>
      </c>
      <c r="T21" s="6">
        <v>0.02</v>
      </c>
      <c r="U21" s="6">
        <v>2.75</v>
      </c>
      <c r="V21" s="6">
        <v>0.08</v>
      </c>
      <c r="W21" s="9"/>
      <c r="X21" s="6">
        <v>0.11</v>
      </c>
      <c r="Y21" s="9"/>
      <c r="Z21" s="9"/>
      <c r="AA21" s="6"/>
      <c r="AB21" s="6"/>
      <c r="AC21" s="6">
        <v>0.31</v>
      </c>
      <c r="AD21" s="6"/>
      <c r="AE21" s="6"/>
      <c r="AF21" s="6">
        <f t="shared" si="2"/>
        <v>21.36</v>
      </c>
      <c r="AG21" s="6">
        <v>17.440000000000001</v>
      </c>
      <c r="AH21" s="6">
        <v>3.92</v>
      </c>
      <c r="AI21" s="6">
        <v>2.6</v>
      </c>
      <c r="AJ21" s="6">
        <v>148.38999999999999</v>
      </c>
      <c r="AK21" s="6">
        <v>3.13</v>
      </c>
    </row>
    <row r="22" spans="1:37" ht="78" x14ac:dyDescent="0.3">
      <c r="A22" s="20" t="s">
        <v>73</v>
      </c>
      <c r="B22" s="21" t="s">
        <v>74</v>
      </c>
      <c r="C22" s="6">
        <v>3887.64</v>
      </c>
      <c r="D22" s="6">
        <v>2490</v>
      </c>
      <c r="E22" s="6">
        <v>369.4</v>
      </c>
      <c r="F22" s="6">
        <v>328.83</v>
      </c>
      <c r="G22" s="9"/>
      <c r="H22" s="6">
        <v>23.4</v>
      </c>
      <c r="I22" s="6">
        <v>7.7</v>
      </c>
      <c r="J22" s="6">
        <v>0.42</v>
      </c>
      <c r="K22" s="9"/>
      <c r="L22" s="9"/>
      <c r="M22" s="9"/>
      <c r="N22" s="9"/>
      <c r="O22" s="5">
        <f t="shared" si="0"/>
        <v>31.52</v>
      </c>
      <c r="P22" s="5">
        <f t="shared" si="1"/>
        <v>400.91999999999996</v>
      </c>
      <c r="Q22" s="6">
        <v>22.87</v>
      </c>
      <c r="R22" s="6">
        <v>0.04</v>
      </c>
      <c r="S22" s="6">
        <v>2.4</v>
      </c>
      <c r="T22" s="9"/>
      <c r="U22" s="6">
        <v>13.44</v>
      </c>
      <c r="V22" s="6">
        <v>3.88</v>
      </c>
      <c r="W22" s="9"/>
      <c r="X22" s="6">
        <v>0.12</v>
      </c>
      <c r="Y22" s="6">
        <v>0.05</v>
      </c>
      <c r="Z22" s="6">
        <v>0.38</v>
      </c>
      <c r="AA22" s="6"/>
      <c r="AB22" s="6"/>
      <c r="AC22" s="6">
        <v>2.4300000000000002</v>
      </c>
      <c r="AD22" s="6"/>
      <c r="AE22" s="6">
        <v>0.12</v>
      </c>
      <c r="AF22" s="6">
        <f t="shared" si="2"/>
        <v>271.13</v>
      </c>
      <c r="AG22" s="6">
        <v>65.25</v>
      </c>
      <c r="AH22" s="6">
        <v>205.88</v>
      </c>
      <c r="AI22" s="6">
        <v>774.59</v>
      </c>
      <c r="AJ22" s="6">
        <v>981.05</v>
      </c>
      <c r="AK22" s="6">
        <v>62.84</v>
      </c>
    </row>
    <row r="23" spans="1:37" ht="91" x14ac:dyDescent="0.3">
      <c r="A23" s="20" t="s">
        <v>75</v>
      </c>
      <c r="B23" s="21" t="s">
        <v>76</v>
      </c>
      <c r="C23" s="6">
        <v>501.23</v>
      </c>
      <c r="D23" s="6">
        <v>269.18</v>
      </c>
      <c r="E23" s="6">
        <v>9.52</v>
      </c>
      <c r="F23" s="6">
        <v>9.02</v>
      </c>
      <c r="G23" s="9"/>
      <c r="H23" s="6">
        <v>0.17</v>
      </c>
      <c r="I23" s="6">
        <v>0.02</v>
      </c>
      <c r="J23" s="6">
        <v>2.2799999999999998</v>
      </c>
      <c r="K23" s="9"/>
      <c r="L23" s="9"/>
      <c r="M23" s="9"/>
      <c r="N23" s="9"/>
      <c r="O23" s="5">
        <f t="shared" si="0"/>
        <v>2.4699999999999998</v>
      </c>
      <c r="P23" s="5">
        <f t="shared" si="1"/>
        <v>11.989999999999998</v>
      </c>
      <c r="Q23" s="6">
        <v>10.029999999999999</v>
      </c>
      <c r="R23" s="9"/>
      <c r="S23" s="6">
        <v>4.17</v>
      </c>
      <c r="T23" s="6">
        <v>0.01</v>
      </c>
      <c r="U23" s="6">
        <v>4.54</v>
      </c>
      <c r="V23" s="6">
        <v>0.23</v>
      </c>
      <c r="W23" s="9"/>
      <c r="X23" s="6">
        <v>0.08</v>
      </c>
      <c r="Y23" s="9"/>
      <c r="Z23" s="6">
        <v>0.04</v>
      </c>
      <c r="AA23" s="6"/>
      <c r="AB23" s="6"/>
      <c r="AC23" s="6">
        <v>0.71</v>
      </c>
      <c r="AD23" s="6"/>
      <c r="AE23" s="6">
        <v>0.25</v>
      </c>
      <c r="AF23" s="6">
        <f t="shared" si="2"/>
        <v>60.050000000000004</v>
      </c>
      <c r="AG23" s="6">
        <v>45.56</v>
      </c>
      <c r="AH23" s="6">
        <v>14.49</v>
      </c>
      <c r="AI23" s="6">
        <v>17.09</v>
      </c>
      <c r="AJ23" s="6">
        <v>162.88</v>
      </c>
      <c r="AK23" s="6">
        <v>7.32</v>
      </c>
    </row>
    <row r="24" spans="1:37" ht="195" x14ac:dyDescent="0.3">
      <c r="A24" s="20" t="s">
        <v>77</v>
      </c>
      <c r="B24" s="21" t="s">
        <v>78</v>
      </c>
      <c r="C24" s="6">
        <v>500.92</v>
      </c>
      <c r="D24" s="6">
        <v>352.01</v>
      </c>
      <c r="E24" s="6">
        <v>7.63</v>
      </c>
      <c r="F24" s="6">
        <v>7.34</v>
      </c>
      <c r="G24" s="9"/>
      <c r="H24" s="9"/>
      <c r="I24" s="6">
        <v>0.43</v>
      </c>
      <c r="J24" s="9"/>
      <c r="K24" s="9"/>
      <c r="L24" s="9"/>
      <c r="M24" s="9"/>
      <c r="N24" s="9"/>
      <c r="O24" s="5">
        <f t="shared" si="0"/>
        <v>0.43</v>
      </c>
      <c r="P24" s="5">
        <f t="shared" si="1"/>
        <v>8.06</v>
      </c>
      <c r="Q24" s="6">
        <v>20.149999999999999</v>
      </c>
      <c r="R24" s="9"/>
      <c r="S24" s="6">
        <v>3.03</v>
      </c>
      <c r="T24" s="9"/>
      <c r="U24" s="6">
        <v>2.88</v>
      </c>
      <c r="V24" s="6">
        <v>0.39</v>
      </c>
      <c r="W24" s="9"/>
      <c r="X24" s="6">
        <v>0.03</v>
      </c>
      <c r="Y24" s="6">
        <v>0.69</v>
      </c>
      <c r="Z24" s="6">
        <v>0.08</v>
      </c>
      <c r="AA24" s="6"/>
      <c r="AB24" s="6">
        <v>11.63</v>
      </c>
      <c r="AC24" s="6">
        <v>1.21</v>
      </c>
      <c r="AD24" s="6"/>
      <c r="AE24" s="6">
        <v>0.19</v>
      </c>
      <c r="AF24" s="6">
        <f t="shared" si="2"/>
        <v>210.29</v>
      </c>
      <c r="AG24" s="6">
        <v>41.31</v>
      </c>
      <c r="AH24" s="6">
        <v>168.98</v>
      </c>
      <c r="AI24" s="6">
        <v>3.67</v>
      </c>
      <c r="AJ24" s="6">
        <v>104.52</v>
      </c>
      <c r="AK24" s="6">
        <v>5.31</v>
      </c>
    </row>
    <row r="25" spans="1:37" ht="91" x14ac:dyDescent="0.3">
      <c r="A25" s="20" t="s">
        <v>79</v>
      </c>
      <c r="B25" s="21" t="s">
        <v>80</v>
      </c>
      <c r="C25" s="6">
        <v>26515.09</v>
      </c>
      <c r="D25" s="6">
        <v>24268.19</v>
      </c>
      <c r="E25" s="6">
        <v>1208.77</v>
      </c>
      <c r="F25" s="6">
        <v>793.44</v>
      </c>
      <c r="G25" s="9"/>
      <c r="H25" s="6">
        <v>391.48</v>
      </c>
      <c r="I25" s="6">
        <v>54.9</v>
      </c>
      <c r="J25" s="6">
        <v>1124.43</v>
      </c>
      <c r="K25" s="6">
        <v>128.80000000000001</v>
      </c>
      <c r="L25" s="6">
        <v>7.82</v>
      </c>
      <c r="M25" s="6">
        <v>4.59</v>
      </c>
      <c r="N25" s="6">
        <v>105.17</v>
      </c>
      <c r="O25" s="5">
        <f t="shared" si="0"/>
        <v>1817.1899999999998</v>
      </c>
      <c r="P25" s="5">
        <f t="shared" si="1"/>
        <v>3025.96</v>
      </c>
      <c r="Q25" s="6">
        <v>16377.38</v>
      </c>
      <c r="R25" s="6">
        <v>74.64</v>
      </c>
      <c r="S25" s="6">
        <v>1.76</v>
      </c>
      <c r="T25" s="6">
        <v>0.04</v>
      </c>
      <c r="U25" s="6">
        <v>17.079999999999998</v>
      </c>
      <c r="V25" s="6">
        <v>166.66</v>
      </c>
      <c r="W25" s="6">
        <v>1942.97</v>
      </c>
      <c r="X25" s="6">
        <v>341.29</v>
      </c>
      <c r="Y25" s="6">
        <v>0.02</v>
      </c>
      <c r="Z25" s="6">
        <v>1.54</v>
      </c>
      <c r="AA25" s="6">
        <v>10.32</v>
      </c>
      <c r="AB25" s="6">
        <v>230.53</v>
      </c>
      <c r="AC25" s="6">
        <v>2605.08</v>
      </c>
      <c r="AD25" s="6">
        <v>2609.06</v>
      </c>
      <c r="AE25" s="6">
        <v>8376.3799999999992</v>
      </c>
      <c r="AF25" s="6">
        <f t="shared" si="2"/>
        <v>1360.72</v>
      </c>
      <c r="AG25" s="6">
        <v>350.23</v>
      </c>
      <c r="AH25" s="6">
        <v>1010.49</v>
      </c>
      <c r="AI25" s="6">
        <v>2266.33</v>
      </c>
      <c r="AJ25" s="6">
        <v>1577.18</v>
      </c>
      <c r="AK25" s="6">
        <v>52.1</v>
      </c>
    </row>
    <row r="26" spans="1:37" ht="104" x14ac:dyDescent="0.3">
      <c r="A26" s="20" t="s">
        <v>81</v>
      </c>
      <c r="B26" s="21" t="s">
        <v>82</v>
      </c>
      <c r="C26" s="6">
        <v>55001.55</v>
      </c>
      <c r="D26" s="6">
        <v>44879.46</v>
      </c>
      <c r="E26" s="6">
        <v>9309.4500000000007</v>
      </c>
      <c r="F26" s="6">
        <v>9064.65</v>
      </c>
      <c r="G26" s="9"/>
      <c r="H26" s="6">
        <v>124.04</v>
      </c>
      <c r="I26" s="6">
        <v>3943.83</v>
      </c>
      <c r="J26" s="6">
        <v>516.65</v>
      </c>
      <c r="K26" s="6">
        <v>12.11</v>
      </c>
      <c r="L26" s="6">
        <v>23.29</v>
      </c>
      <c r="M26" s="6">
        <v>23.88</v>
      </c>
      <c r="N26" s="6">
        <v>629.69000000000005</v>
      </c>
      <c r="O26" s="5">
        <f t="shared" si="0"/>
        <v>5273.49</v>
      </c>
      <c r="P26" s="5">
        <f t="shared" si="1"/>
        <v>14582.94</v>
      </c>
      <c r="Q26" s="6">
        <v>11992.61</v>
      </c>
      <c r="R26" s="6">
        <v>168.9</v>
      </c>
      <c r="S26" s="6">
        <v>12.93</v>
      </c>
      <c r="T26" s="6">
        <v>2.95</v>
      </c>
      <c r="U26" s="6">
        <v>37.14</v>
      </c>
      <c r="V26" s="6">
        <v>42.54</v>
      </c>
      <c r="W26" s="6">
        <v>7111.11</v>
      </c>
      <c r="X26" s="6">
        <v>1.68</v>
      </c>
      <c r="Y26" s="6">
        <v>263.44</v>
      </c>
      <c r="Z26" s="6">
        <v>58.17</v>
      </c>
      <c r="AA26" s="6">
        <v>51.17</v>
      </c>
      <c r="AB26" s="6">
        <v>89.14</v>
      </c>
      <c r="AC26" s="6">
        <v>1440.52</v>
      </c>
      <c r="AD26" s="6">
        <v>299.23</v>
      </c>
      <c r="AE26" s="6">
        <v>2413.6799999999998</v>
      </c>
      <c r="AF26" s="6">
        <f t="shared" si="2"/>
        <v>5402.99</v>
      </c>
      <c r="AG26" s="6">
        <v>2382.17</v>
      </c>
      <c r="AH26" s="6">
        <v>3020.82</v>
      </c>
      <c r="AI26" s="6">
        <v>5687.64</v>
      </c>
      <c r="AJ26" s="6">
        <v>7105.02</v>
      </c>
      <c r="AK26" s="6">
        <v>232.29</v>
      </c>
    </row>
    <row r="27" spans="1:37" ht="52" x14ac:dyDescent="0.3">
      <c r="A27" s="20" t="s">
        <v>83</v>
      </c>
      <c r="B27" s="21" t="s">
        <v>84</v>
      </c>
      <c r="C27" s="6">
        <v>2244.73</v>
      </c>
      <c r="D27" s="6">
        <v>1491.05</v>
      </c>
      <c r="E27" s="6">
        <v>300.49</v>
      </c>
      <c r="F27" s="6">
        <v>292.51</v>
      </c>
      <c r="G27" s="9"/>
      <c r="H27" s="6">
        <v>1.8</v>
      </c>
      <c r="I27" s="6">
        <v>3.36</v>
      </c>
      <c r="J27" s="6">
        <v>0.86</v>
      </c>
      <c r="K27" s="9"/>
      <c r="L27" s="9"/>
      <c r="M27" s="6">
        <v>0.03</v>
      </c>
      <c r="N27" s="6">
        <v>0.01</v>
      </c>
      <c r="O27" s="5">
        <f t="shared" si="0"/>
        <v>6.0600000000000005</v>
      </c>
      <c r="P27" s="5">
        <f t="shared" si="1"/>
        <v>306.55</v>
      </c>
      <c r="Q27" s="6">
        <v>14.35</v>
      </c>
      <c r="R27" s="9"/>
      <c r="S27" s="6">
        <v>4.38</v>
      </c>
      <c r="T27" s="6">
        <v>0.01</v>
      </c>
      <c r="U27" s="6">
        <v>5.47</v>
      </c>
      <c r="V27" s="6">
        <v>2.15</v>
      </c>
      <c r="W27" s="9"/>
      <c r="X27" s="6">
        <v>0.01</v>
      </c>
      <c r="Y27" s="6">
        <v>0.04</v>
      </c>
      <c r="Z27" s="6">
        <v>0.5</v>
      </c>
      <c r="AA27" s="6"/>
      <c r="AB27" s="6"/>
      <c r="AC27" s="6">
        <v>0.79</v>
      </c>
      <c r="AD27" s="6"/>
      <c r="AE27" s="6">
        <v>1.01</v>
      </c>
      <c r="AF27" s="6">
        <f t="shared" si="2"/>
        <v>246.17000000000002</v>
      </c>
      <c r="AG27" s="6">
        <v>101.95</v>
      </c>
      <c r="AH27" s="6">
        <v>144.22</v>
      </c>
      <c r="AI27" s="6">
        <v>376.85</v>
      </c>
      <c r="AJ27" s="6">
        <v>529.03</v>
      </c>
      <c r="AK27" s="6">
        <v>19.899999999999999</v>
      </c>
    </row>
    <row r="28" spans="1:37" ht="65" x14ac:dyDescent="0.3">
      <c r="A28" s="20" t="s">
        <v>85</v>
      </c>
      <c r="B28" s="21" t="s">
        <v>86</v>
      </c>
      <c r="C28" s="6">
        <v>2349.36</v>
      </c>
      <c r="D28" s="6">
        <v>1560.82</v>
      </c>
      <c r="E28" s="6">
        <v>378.47</v>
      </c>
      <c r="F28" s="6">
        <v>269.39999999999998</v>
      </c>
      <c r="G28" s="9"/>
      <c r="H28" s="6">
        <v>2.31</v>
      </c>
      <c r="I28" s="6">
        <v>0.06</v>
      </c>
      <c r="J28" s="9"/>
      <c r="K28" s="9"/>
      <c r="L28" s="9"/>
      <c r="M28" s="9"/>
      <c r="N28" s="9"/>
      <c r="O28" s="5">
        <f t="shared" si="0"/>
        <v>2.37</v>
      </c>
      <c r="P28" s="5">
        <f t="shared" si="1"/>
        <v>380.84000000000003</v>
      </c>
      <c r="Q28" s="6">
        <v>3.49</v>
      </c>
      <c r="R28" s="9"/>
      <c r="S28" s="6">
        <v>0.55000000000000004</v>
      </c>
      <c r="T28" s="6">
        <v>0.02</v>
      </c>
      <c r="U28" s="6">
        <v>1.62</v>
      </c>
      <c r="V28" s="6">
        <v>0.9</v>
      </c>
      <c r="W28" s="9"/>
      <c r="X28" s="6">
        <v>0.06</v>
      </c>
      <c r="Y28" s="9"/>
      <c r="Z28" s="6">
        <v>0.13</v>
      </c>
      <c r="AA28" s="6"/>
      <c r="AB28" s="6"/>
      <c r="AC28" s="6">
        <v>0.15</v>
      </c>
      <c r="AD28" s="6"/>
      <c r="AE28" s="6">
        <v>7.0000000000000007E-2</v>
      </c>
      <c r="AF28" s="6">
        <f t="shared" si="2"/>
        <v>233.01</v>
      </c>
      <c r="AG28" s="6">
        <v>28.91</v>
      </c>
      <c r="AH28" s="6">
        <v>204.1</v>
      </c>
      <c r="AI28" s="6">
        <v>377.49</v>
      </c>
      <c r="AJ28" s="6">
        <v>553.5</v>
      </c>
      <c r="AK28" s="6">
        <v>14.79</v>
      </c>
    </row>
    <row r="29" spans="1:37" ht="91" x14ac:dyDescent="0.3">
      <c r="A29" s="20" t="s">
        <v>87</v>
      </c>
      <c r="B29" s="21" t="s">
        <v>88</v>
      </c>
      <c r="C29" s="6">
        <v>4978.63</v>
      </c>
      <c r="D29" s="6">
        <v>2385.9899999999998</v>
      </c>
      <c r="E29" s="6">
        <v>157.25</v>
      </c>
      <c r="F29" s="6">
        <v>143.66999999999999</v>
      </c>
      <c r="G29" s="9"/>
      <c r="H29" s="6">
        <v>1.02</v>
      </c>
      <c r="I29" s="6">
        <v>1.92</v>
      </c>
      <c r="J29" s="6">
        <v>4.04</v>
      </c>
      <c r="K29" s="9"/>
      <c r="L29" s="9"/>
      <c r="M29" s="9"/>
      <c r="N29" s="6">
        <v>2.96</v>
      </c>
      <c r="O29" s="5">
        <f t="shared" si="0"/>
        <v>9.9400000000000013</v>
      </c>
      <c r="P29" s="5">
        <f t="shared" si="1"/>
        <v>167.19</v>
      </c>
      <c r="Q29" s="6">
        <v>38.549999999999997</v>
      </c>
      <c r="R29" s="6">
        <v>0.06</v>
      </c>
      <c r="S29" s="6">
        <v>8.7100000000000009</v>
      </c>
      <c r="T29" s="6">
        <v>7.0000000000000007E-2</v>
      </c>
      <c r="U29" s="6">
        <v>11.2</v>
      </c>
      <c r="V29" s="6">
        <v>3.16</v>
      </c>
      <c r="W29" s="9"/>
      <c r="X29" s="6">
        <v>0.77</v>
      </c>
      <c r="Y29" s="6">
        <v>1.72</v>
      </c>
      <c r="Z29" s="6">
        <v>0.74</v>
      </c>
      <c r="AA29" s="6">
        <v>3.78</v>
      </c>
      <c r="AB29" s="6"/>
      <c r="AC29" s="6">
        <v>4.37</v>
      </c>
      <c r="AD29" s="6">
        <v>0.01</v>
      </c>
      <c r="AE29" s="6">
        <v>3.96</v>
      </c>
      <c r="AF29" s="6">
        <f t="shared" si="2"/>
        <v>240.96</v>
      </c>
      <c r="AG29" s="6">
        <v>105.66</v>
      </c>
      <c r="AH29" s="6">
        <v>135.30000000000001</v>
      </c>
      <c r="AI29" s="6">
        <v>106.59</v>
      </c>
      <c r="AJ29" s="6">
        <v>1819.86</v>
      </c>
      <c r="AK29" s="6">
        <v>13.85</v>
      </c>
    </row>
    <row r="30" spans="1:37" ht="91" x14ac:dyDescent="0.3">
      <c r="A30" s="20" t="s">
        <v>89</v>
      </c>
      <c r="B30" s="21" t="s">
        <v>90</v>
      </c>
      <c r="C30" s="6">
        <v>36429.51</v>
      </c>
      <c r="D30" s="6">
        <v>29549.37</v>
      </c>
      <c r="E30" s="6">
        <v>16206.53</v>
      </c>
      <c r="F30" s="6">
        <v>10780.99</v>
      </c>
      <c r="G30" s="9"/>
      <c r="H30" s="6">
        <v>5307.4</v>
      </c>
      <c r="I30" s="6">
        <v>1421.3</v>
      </c>
      <c r="J30" s="6">
        <v>218.69</v>
      </c>
      <c r="K30" s="6">
        <v>59.31</v>
      </c>
      <c r="L30" s="6">
        <v>25.62</v>
      </c>
      <c r="M30" s="6">
        <v>15.14</v>
      </c>
      <c r="N30" s="6">
        <v>19.11</v>
      </c>
      <c r="O30" s="5">
        <f t="shared" si="0"/>
        <v>7066.57</v>
      </c>
      <c r="P30" s="5">
        <f t="shared" si="1"/>
        <v>23273.1</v>
      </c>
      <c r="Q30" s="6">
        <v>3619.49</v>
      </c>
      <c r="R30" s="6">
        <v>0.52</v>
      </c>
      <c r="S30" s="6">
        <v>19.010000000000002</v>
      </c>
      <c r="T30" s="6">
        <v>0.77</v>
      </c>
      <c r="U30" s="6">
        <v>338.44</v>
      </c>
      <c r="V30" s="6">
        <v>83.27</v>
      </c>
      <c r="W30" s="9"/>
      <c r="X30" s="6">
        <v>1.1100000000000001</v>
      </c>
      <c r="Y30" s="6">
        <v>1.21</v>
      </c>
      <c r="Z30" s="6">
        <v>0.38</v>
      </c>
      <c r="AA30" s="6">
        <v>367.88</v>
      </c>
      <c r="AB30" s="6">
        <v>2692.85</v>
      </c>
      <c r="AC30" s="6">
        <v>93.38</v>
      </c>
      <c r="AD30" s="6">
        <v>0.13</v>
      </c>
      <c r="AE30" s="6">
        <v>20.55</v>
      </c>
      <c r="AF30" s="6">
        <f t="shared" si="2"/>
        <v>2888.57</v>
      </c>
      <c r="AG30" s="6">
        <v>541.55999999999995</v>
      </c>
      <c r="AH30" s="6">
        <v>2347.0100000000002</v>
      </c>
      <c r="AI30" s="6">
        <v>163.19</v>
      </c>
      <c r="AJ30" s="6">
        <v>4829.3900000000003</v>
      </c>
      <c r="AK30" s="6">
        <v>83.03</v>
      </c>
    </row>
    <row r="31" spans="1:37" ht="91" x14ac:dyDescent="0.3">
      <c r="A31" s="20" t="s">
        <v>91</v>
      </c>
      <c r="B31" s="21" t="s">
        <v>92</v>
      </c>
      <c r="C31" s="6">
        <v>85274.38</v>
      </c>
      <c r="D31" s="6">
        <v>73393.66</v>
      </c>
      <c r="E31" s="6">
        <v>8414.73</v>
      </c>
      <c r="F31" s="6">
        <v>7868.94</v>
      </c>
      <c r="G31" s="9"/>
      <c r="H31" s="6">
        <v>477.41</v>
      </c>
      <c r="I31" s="6">
        <v>39181.81</v>
      </c>
      <c r="J31" s="6">
        <v>2020.99</v>
      </c>
      <c r="K31" s="6">
        <v>10739.35</v>
      </c>
      <c r="L31" s="6">
        <v>1688.54</v>
      </c>
      <c r="M31" s="6">
        <v>2.8</v>
      </c>
      <c r="N31" s="6">
        <v>379.71</v>
      </c>
      <c r="O31" s="5">
        <f t="shared" si="0"/>
        <v>54490.61</v>
      </c>
      <c r="P31" s="5">
        <f t="shared" si="1"/>
        <v>62905.34</v>
      </c>
      <c r="Q31" s="6">
        <v>105.13</v>
      </c>
      <c r="R31" s="9"/>
      <c r="S31" s="6">
        <v>3.68</v>
      </c>
      <c r="T31" s="6">
        <v>0.03</v>
      </c>
      <c r="U31" s="6">
        <v>59.67</v>
      </c>
      <c r="V31" s="6">
        <v>0.38</v>
      </c>
      <c r="W31" s="9"/>
      <c r="X31" s="6">
        <v>1.83</v>
      </c>
      <c r="Y31" s="6">
        <v>0.01</v>
      </c>
      <c r="Z31" s="9"/>
      <c r="AA31" s="6"/>
      <c r="AB31" s="6">
        <v>22.37</v>
      </c>
      <c r="AC31" s="6">
        <v>15.17</v>
      </c>
      <c r="AD31" s="6">
        <v>1.45</v>
      </c>
      <c r="AE31" s="6">
        <v>0.54</v>
      </c>
      <c r="AF31" s="6">
        <f t="shared" si="2"/>
        <v>1834.52</v>
      </c>
      <c r="AG31" s="6">
        <v>616.30999999999995</v>
      </c>
      <c r="AH31" s="6">
        <v>1218.21</v>
      </c>
      <c r="AI31" s="6">
        <v>639.34</v>
      </c>
      <c r="AJ31" s="6">
        <v>8339.4599999999991</v>
      </c>
      <c r="AK31" s="6">
        <v>47.29</v>
      </c>
    </row>
    <row r="32" spans="1:37" ht="91" x14ac:dyDescent="0.3">
      <c r="A32" s="20" t="s">
        <v>93</v>
      </c>
      <c r="B32" s="21" t="s">
        <v>94</v>
      </c>
      <c r="C32" s="6">
        <v>25385.599999999999</v>
      </c>
      <c r="D32" s="6">
        <v>12896.7</v>
      </c>
      <c r="E32" s="6">
        <v>1699.95</v>
      </c>
      <c r="F32" s="6">
        <v>1543.04</v>
      </c>
      <c r="G32" s="9"/>
      <c r="H32" s="6">
        <v>151.46</v>
      </c>
      <c r="I32" s="6">
        <v>388.23</v>
      </c>
      <c r="J32" s="6">
        <v>134.97999999999999</v>
      </c>
      <c r="K32" s="9"/>
      <c r="L32" s="6">
        <v>5.01</v>
      </c>
      <c r="M32" s="6">
        <v>122.79</v>
      </c>
      <c r="N32" s="6">
        <v>11.3</v>
      </c>
      <c r="O32" s="5">
        <f t="shared" si="0"/>
        <v>813.77</v>
      </c>
      <c r="P32" s="5">
        <f t="shared" si="1"/>
        <v>2513.7200000000003</v>
      </c>
      <c r="Q32" s="6">
        <v>356.9</v>
      </c>
      <c r="R32" s="6">
        <v>0.3</v>
      </c>
      <c r="S32" s="6">
        <v>3.65</v>
      </c>
      <c r="T32" s="6">
        <v>0.55000000000000004</v>
      </c>
      <c r="U32" s="6">
        <v>35.32</v>
      </c>
      <c r="V32" s="6">
        <v>11.03</v>
      </c>
      <c r="W32" s="9"/>
      <c r="X32" s="6">
        <v>0.68</v>
      </c>
      <c r="Y32" s="6">
        <v>0.01</v>
      </c>
      <c r="Z32" s="6">
        <v>0.15</v>
      </c>
      <c r="AA32" s="6">
        <v>20.56</v>
      </c>
      <c r="AB32" s="6">
        <v>270.77</v>
      </c>
      <c r="AC32" s="6">
        <v>4.75</v>
      </c>
      <c r="AD32" s="6"/>
      <c r="AE32" s="6">
        <v>9.1199999999999992</v>
      </c>
      <c r="AF32" s="6">
        <f t="shared" si="2"/>
        <v>665.31</v>
      </c>
      <c r="AG32" s="6">
        <v>279.32</v>
      </c>
      <c r="AH32" s="6">
        <v>385.99</v>
      </c>
      <c r="AI32" s="6">
        <v>738.79</v>
      </c>
      <c r="AJ32" s="6">
        <v>8766.36</v>
      </c>
      <c r="AK32" s="6">
        <v>7.08</v>
      </c>
    </row>
    <row r="33" spans="1:37" ht="65" x14ac:dyDescent="0.3">
      <c r="A33" s="20" t="s">
        <v>95</v>
      </c>
      <c r="B33" s="21" t="s">
        <v>96</v>
      </c>
      <c r="C33" s="6">
        <v>6555.24</v>
      </c>
      <c r="D33" s="6">
        <v>3838.12</v>
      </c>
      <c r="E33" s="6">
        <v>188.24</v>
      </c>
      <c r="F33" s="6">
        <v>159.88999999999999</v>
      </c>
      <c r="G33" s="9"/>
      <c r="H33" s="6">
        <v>27.64</v>
      </c>
      <c r="I33" s="6">
        <v>572.26</v>
      </c>
      <c r="J33" s="6">
        <v>18.32</v>
      </c>
      <c r="K33" s="6">
        <v>121.63</v>
      </c>
      <c r="L33" s="6">
        <v>8.26</v>
      </c>
      <c r="M33" s="6">
        <v>1.1200000000000001</v>
      </c>
      <c r="N33" s="6">
        <v>3.47</v>
      </c>
      <c r="O33" s="5">
        <f t="shared" si="0"/>
        <v>752.7</v>
      </c>
      <c r="P33" s="5">
        <f t="shared" si="1"/>
        <v>940.94</v>
      </c>
      <c r="Q33" s="6">
        <v>44.29</v>
      </c>
      <c r="R33" s="9"/>
      <c r="S33" s="6">
        <v>12.12</v>
      </c>
      <c r="T33" s="6">
        <v>0.44</v>
      </c>
      <c r="U33" s="6">
        <v>19.100000000000001</v>
      </c>
      <c r="V33" s="6">
        <v>1.07</v>
      </c>
      <c r="W33" s="9"/>
      <c r="X33" s="6">
        <v>0.94</v>
      </c>
      <c r="Y33" s="6">
        <v>0.04</v>
      </c>
      <c r="Z33" s="6">
        <v>0.03</v>
      </c>
      <c r="AA33" s="6">
        <v>0.25</v>
      </c>
      <c r="AB33" s="6"/>
      <c r="AC33" s="6">
        <v>9.58</v>
      </c>
      <c r="AD33" s="6">
        <v>0.01</v>
      </c>
      <c r="AE33" s="6">
        <v>0.71</v>
      </c>
      <c r="AF33" s="6">
        <f t="shared" si="2"/>
        <v>947.19</v>
      </c>
      <c r="AG33" s="6">
        <v>172.49</v>
      </c>
      <c r="AH33" s="6">
        <v>774.7</v>
      </c>
      <c r="AI33" s="6">
        <v>21.47</v>
      </c>
      <c r="AJ33" s="6">
        <v>1907.24</v>
      </c>
      <c r="AK33" s="6">
        <v>4.6399999999999997</v>
      </c>
    </row>
    <row r="34" spans="1:37" ht="78" x14ac:dyDescent="0.3">
      <c r="A34" s="20" t="s">
        <v>97</v>
      </c>
      <c r="B34" s="21" t="s">
        <v>98</v>
      </c>
      <c r="C34" s="6">
        <v>3981.56</v>
      </c>
      <c r="D34" s="6">
        <v>2095.0300000000002</v>
      </c>
      <c r="E34" s="6">
        <v>10.6</v>
      </c>
      <c r="F34" s="6">
        <v>9.56</v>
      </c>
      <c r="G34" s="9"/>
      <c r="H34" s="6">
        <v>0.25</v>
      </c>
      <c r="I34" s="6">
        <v>400.3</v>
      </c>
      <c r="J34" s="6">
        <v>6.7</v>
      </c>
      <c r="K34" s="6">
        <v>0.31</v>
      </c>
      <c r="L34" s="6">
        <v>1.01</v>
      </c>
      <c r="M34" s="9"/>
      <c r="N34" s="9"/>
      <c r="O34" s="5">
        <f t="shared" si="0"/>
        <v>408.57</v>
      </c>
      <c r="P34" s="5">
        <f t="shared" si="1"/>
        <v>419.17</v>
      </c>
      <c r="Q34" s="6">
        <v>52.33</v>
      </c>
      <c r="R34" s="9"/>
      <c r="S34" s="6">
        <v>16.010000000000002</v>
      </c>
      <c r="T34" s="6">
        <v>2.12</v>
      </c>
      <c r="U34" s="6">
        <v>21.39</v>
      </c>
      <c r="V34" s="6">
        <v>0.65</v>
      </c>
      <c r="W34" s="6">
        <v>0.04</v>
      </c>
      <c r="X34" s="6">
        <v>5.09</v>
      </c>
      <c r="Y34" s="6">
        <v>0.19</v>
      </c>
      <c r="Z34" s="6">
        <v>0.06</v>
      </c>
      <c r="AA34" s="6"/>
      <c r="AB34" s="6"/>
      <c r="AC34" s="6">
        <v>4.75</v>
      </c>
      <c r="AD34" s="6">
        <v>0.01</v>
      </c>
      <c r="AE34" s="6">
        <v>2.04</v>
      </c>
      <c r="AF34" s="6">
        <f t="shared" si="2"/>
        <v>282.52999999999997</v>
      </c>
      <c r="AG34" s="6">
        <v>133.13</v>
      </c>
      <c r="AH34" s="6">
        <v>149.4</v>
      </c>
      <c r="AI34" s="6">
        <v>11.98</v>
      </c>
      <c r="AJ34" s="6">
        <v>1324.22</v>
      </c>
      <c r="AK34" s="6">
        <v>5.0599999999999996</v>
      </c>
    </row>
    <row r="35" spans="1:37" ht="78" x14ac:dyDescent="0.3">
      <c r="A35" s="20" t="s">
        <v>99</v>
      </c>
      <c r="B35" s="21" t="s">
        <v>100</v>
      </c>
      <c r="C35" s="6">
        <v>1820.34</v>
      </c>
      <c r="D35" s="6">
        <v>947.46</v>
      </c>
      <c r="E35" s="6">
        <v>6.94</v>
      </c>
      <c r="F35" s="6">
        <v>2.95</v>
      </c>
      <c r="G35" s="9"/>
      <c r="H35" s="9"/>
      <c r="I35" s="9"/>
      <c r="J35" s="6">
        <v>1.91</v>
      </c>
      <c r="K35" s="6">
        <v>4.79</v>
      </c>
      <c r="L35" s="6">
        <v>0.01</v>
      </c>
      <c r="M35" s="6">
        <v>0.89</v>
      </c>
      <c r="N35" s="6">
        <v>3.2</v>
      </c>
      <c r="O35" s="5">
        <f t="shared" si="0"/>
        <v>10.8</v>
      </c>
      <c r="P35" s="5">
        <f t="shared" si="1"/>
        <v>17.740000000000002</v>
      </c>
      <c r="Q35" s="6">
        <v>52.18</v>
      </c>
      <c r="R35" s="6">
        <v>0.01</v>
      </c>
      <c r="S35" s="6">
        <v>12.22</v>
      </c>
      <c r="T35" s="6">
        <v>1.3</v>
      </c>
      <c r="U35" s="6">
        <v>21.87</v>
      </c>
      <c r="V35" s="6">
        <v>0.54</v>
      </c>
      <c r="W35" s="9"/>
      <c r="X35" s="6">
        <v>5.22</v>
      </c>
      <c r="Y35" s="6">
        <v>0.05</v>
      </c>
      <c r="Z35" s="6">
        <v>0.06</v>
      </c>
      <c r="AA35" s="6"/>
      <c r="AB35" s="6"/>
      <c r="AC35" s="6">
        <v>6.72</v>
      </c>
      <c r="AD35" s="6"/>
      <c r="AE35" s="6">
        <v>4.2</v>
      </c>
      <c r="AF35" s="6">
        <f t="shared" si="2"/>
        <v>232.08</v>
      </c>
      <c r="AG35" s="6">
        <v>67.34</v>
      </c>
      <c r="AH35" s="6">
        <v>164.74</v>
      </c>
      <c r="AI35" s="6">
        <v>28.41</v>
      </c>
      <c r="AJ35" s="6">
        <v>612.70000000000005</v>
      </c>
      <c r="AK35" s="6">
        <v>4.3499999999999996</v>
      </c>
    </row>
    <row r="36" spans="1:37" ht="65" x14ac:dyDescent="0.3">
      <c r="A36" s="20" t="s">
        <v>101</v>
      </c>
      <c r="B36" s="21" t="s">
        <v>102</v>
      </c>
      <c r="C36" s="6">
        <v>4069.55</v>
      </c>
      <c r="D36" s="6">
        <v>1998.63</v>
      </c>
      <c r="E36" s="6">
        <v>12.42</v>
      </c>
      <c r="F36" s="6">
        <v>11.79</v>
      </c>
      <c r="G36" s="9"/>
      <c r="H36" s="6">
        <v>0.03</v>
      </c>
      <c r="I36" s="6">
        <v>10.91</v>
      </c>
      <c r="J36" s="6">
        <v>0.37</v>
      </c>
      <c r="K36" s="6">
        <v>0.02</v>
      </c>
      <c r="L36" s="6">
        <v>0.03</v>
      </c>
      <c r="M36" s="6">
        <v>0.28999999999999998</v>
      </c>
      <c r="N36" s="9"/>
      <c r="O36" s="5">
        <f t="shared" si="0"/>
        <v>11.649999999999997</v>
      </c>
      <c r="P36" s="5">
        <f t="shared" si="1"/>
        <v>24.069999999999997</v>
      </c>
      <c r="Q36" s="6">
        <v>61.07</v>
      </c>
      <c r="R36" s="6">
        <v>0.01</v>
      </c>
      <c r="S36" s="6">
        <v>20.05</v>
      </c>
      <c r="T36" s="6">
        <v>0.36</v>
      </c>
      <c r="U36" s="6">
        <v>23.79</v>
      </c>
      <c r="V36" s="6">
        <v>0.25</v>
      </c>
      <c r="W36" s="6">
        <v>0.01</v>
      </c>
      <c r="X36" s="6">
        <v>11.83</v>
      </c>
      <c r="Y36" s="6">
        <v>0.02</v>
      </c>
      <c r="Z36" s="6">
        <v>0.18</v>
      </c>
      <c r="AA36" s="6">
        <v>0.01</v>
      </c>
      <c r="AB36" s="6"/>
      <c r="AC36" s="6">
        <v>2.73</v>
      </c>
      <c r="AD36" s="6"/>
      <c r="AE36" s="6">
        <v>1.83</v>
      </c>
      <c r="AF36" s="6">
        <f t="shared" si="2"/>
        <v>368.49</v>
      </c>
      <c r="AG36" s="6">
        <v>87.82</v>
      </c>
      <c r="AH36" s="6">
        <v>280.67</v>
      </c>
      <c r="AI36" s="6">
        <v>89.08</v>
      </c>
      <c r="AJ36" s="6">
        <v>1453.65</v>
      </c>
      <c r="AK36" s="6">
        <v>2.3199999999999998</v>
      </c>
    </row>
    <row r="37" spans="1:37" ht="143" x14ac:dyDescent="0.3">
      <c r="A37" s="20" t="s">
        <v>103</v>
      </c>
      <c r="B37" s="21" t="s">
        <v>104</v>
      </c>
      <c r="C37" s="6">
        <v>826.62</v>
      </c>
      <c r="D37" s="6">
        <v>546.9</v>
      </c>
      <c r="E37" s="6">
        <v>18.420000000000002</v>
      </c>
      <c r="F37" s="6">
        <v>7.48</v>
      </c>
      <c r="G37" s="9"/>
      <c r="H37" s="6">
        <v>10.94</v>
      </c>
      <c r="I37" s="6">
        <v>0.39</v>
      </c>
      <c r="J37" s="6">
        <v>1.34</v>
      </c>
      <c r="K37" s="9"/>
      <c r="L37" s="9"/>
      <c r="M37" s="6">
        <v>0.01</v>
      </c>
      <c r="N37" s="9"/>
      <c r="O37" s="5">
        <f t="shared" si="0"/>
        <v>12.68</v>
      </c>
      <c r="P37" s="5">
        <f t="shared" si="1"/>
        <v>31.1</v>
      </c>
      <c r="Q37" s="6">
        <v>21.89</v>
      </c>
      <c r="R37" s="9"/>
      <c r="S37" s="6">
        <v>3.99</v>
      </c>
      <c r="T37" s="6">
        <v>1.92</v>
      </c>
      <c r="U37" s="6">
        <v>11.06</v>
      </c>
      <c r="V37" s="6">
        <v>1.4</v>
      </c>
      <c r="W37" s="9"/>
      <c r="X37" s="6">
        <v>0.48</v>
      </c>
      <c r="Y37" s="6">
        <v>0.3</v>
      </c>
      <c r="Z37" s="6">
        <v>0.04</v>
      </c>
      <c r="AA37" s="6"/>
      <c r="AB37" s="6"/>
      <c r="AC37" s="6">
        <v>2.25</v>
      </c>
      <c r="AD37" s="6"/>
      <c r="AE37" s="6">
        <v>0.43</v>
      </c>
      <c r="AF37" s="6">
        <f t="shared" si="2"/>
        <v>288.07</v>
      </c>
      <c r="AG37" s="6">
        <v>63.66</v>
      </c>
      <c r="AH37" s="6">
        <v>224.41</v>
      </c>
      <c r="AI37" s="6">
        <v>20.2</v>
      </c>
      <c r="AJ37" s="6">
        <v>196.34</v>
      </c>
      <c r="AK37" s="6">
        <v>0.24</v>
      </c>
    </row>
    <row r="38" spans="1:37" ht="104" x14ac:dyDescent="0.3">
      <c r="A38" s="20" t="s">
        <v>105</v>
      </c>
      <c r="B38" s="21" t="s">
        <v>106</v>
      </c>
      <c r="C38" s="6">
        <v>3105.62</v>
      </c>
      <c r="D38" s="6">
        <v>1454.78</v>
      </c>
      <c r="E38" s="6">
        <v>8.61</v>
      </c>
      <c r="F38" s="6">
        <v>8.61</v>
      </c>
      <c r="G38" s="9"/>
      <c r="H38" s="9"/>
      <c r="I38" s="6">
        <v>0.68</v>
      </c>
      <c r="J38" s="6">
        <v>0.03</v>
      </c>
      <c r="K38" s="9"/>
      <c r="L38" s="9"/>
      <c r="M38" s="6">
        <v>0.01</v>
      </c>
      <c r="N38" s="9"/>
      <c r="O38" s="5">
        <f t="shared" si="0"/>
        <v>0.72000000000000008</v>
      </c>
      <c r="P38" s="5">
        <f t="shared" si="1"/>
        <v>9.33</v>
      </c>
      <c r="Q38" s="6">
        <v>35.92</v>
      </c>
      <c r="R38" s="9"/>
      <c r="S38" s="6">
        <v>15.1</v>
      </c>
      <c r="T38" s="6">
        <v>0.18</v>
      </c>
      <c r="U38" s="6">
        <v>9.4600000000000009</v>
      </c>
      <c r="V38" s="6">
        <v>1.7</v>
      </c>
      <c r="W38" s="9"/>
      <c r="X38" s="6">
        <v>2.67</v>
      </c>
      <c r="Y38" s="6">
        <v>0.2</v>
      </c>
      <c r="Z38" s="6">
        <v>0.14000000000000001</v>
      </c>
      <c r="AA38" s="6">
        <v>0.05</v>
      </c>
      <c r="AB38" s="6">
        <v>0.33</v>
      </c>
      <c r="AC38" s="6">
        <v>4.55</v>
      </c>
      <c r="AD38" s="6"/>
      <c r="AE38" s="6">
        <v>1.55</v>
      </c>
      <c r="AF38" s="6">
        <f t="shared" si="2"/>
        <v>198.35000000000002</v>
      </c>
      <c r="AG38" s="6">
        <v>43.86</v>
      </c>
      <c r="AH38" s="6">
        <v>154.49</v>
      </c>
      <c r="AI38" s="6">
        <v>47.65</v>
      </c>
      <c r="AJ38" s="6">
        <v>1158.78</v>
      </c>
      <c r="AK38" s="6">
        <v>4.76</v>
      </c>
    </row>
    <row r="39" spans="1:37" ht="130" x14ac:dyDescent="0.3">
      <c r="A39" s="20" t="s">
        <v>107</v>
      </c>
      <c r="B39" s="21" t="s">
        <v>108</v>
      </c>
      <c r="C39" s="6">
        <v>5115.51</v>
      </c>
      <c r="D39" s="6">
        <v>2365.5500000000002</v>
      </c>
      <c r="E39" s="6">
        <v>11.68</v>
      </c>
      <c r="F39" s="6">
        <v>11.2</v>
      </c>
      <c r="G39" s="9"/>
      <c r="H39" s="6">
        <v>0.47</v>
      </c>
      <c r="I39" s="6">
        <v>0.02</v>
      </c>
      <c r="J39" s="6">
        <v>0.26</v>
      </c>
      <c r="K39" s="6">
        <v>0.01</v>
      </c>
      <c r="L39" s="9"/>
      <c r="M39" s="9"/>
      <c r="N39" s="9"/>
      <c r="O39" s="5">
        <f t="shared" si="0"/>
        <v>0.76</v>
      </c>
      <c r="P39" s="5">
        <f t="shared" si="1"/>
        <v>12.44</v>
      </c>
      <c r="Q39" s="6">
        <v>18.670000000000002</v>
      </c>
      <c r="R39" s="9"/>
      <c r="S39" s="6">
        <v>9.26</v>
      </c>
      <c r="T39" s="6">
        <v>0.04</v>
      </c>
      <c r="U39" s="6">
        <v>5.13</v>
      </c>
      <c r="V39" s="6">
        <v>0.38</v>
      </c>
      <c r="W39" s="9"/>
      <c r="X39" s="6">
        <v>0.45</v>
      </c>
      <c r="Y39" s="6">
        <v>0.01</v>
      </c>
      <c r="Z39" s="6">
        <v>0.04</v>
      </c>
      <c r="AA39" s="6"/>
      <c r="AB39" s="6"/>
      <c r="AC39" s="6">
        <v>2.64</v>
      </c>
      <c r="AD39" s="6"/>
      <c r="AE39" s="6">
        <v>0.72</v>
      </c>
      <c r="AF39" s="6">
        <f t="shared" si="2"/>
        <v>358.96</v>
      </c>
      <c r="AG39" s="6">
        <v>159.29</v>
      </c>
      <c r="AH39" s="6">
        <v>199.67</v>
      </c>
      <c r="AI39" s="6">
        <v>42.81</v>
      </c>
      <c r="AJ39" s="6">
        <v>1930.28</v>
      </c>
      <c r="AK39" s="6">
        <v>2.87</v>
      </c>
    </row>
    <row r="40" spans="1:37" ht="91" x14ac:dyDescent="0.3">
      <c r="A40" s="20" t="s">
        <v>109</v>
      </c>
      <c r="B40" s="21" t="s">
        <v>110</v>
      </c>
      <c r="C40" s="6">
        <v>252.35</v>
      </c>
      <c r="D40" s="6">
        <v>117.12</v>
      </c>
      <c r="E40" s="6">
        <v>1.66</v>
      </c>
      <c r="F40" s="6">
        <v>1.66</v>
      </c>
      <c r="G40" s="9"/>
      <c r="H40" s="9"/>
      <c r="I40" s="9"/>
      <c r="J40" s="9"/>
      <c r="K40" s="9"/>
      <c r="L40" s="9"/>
      <c r="M40" s="9"/>
      <c r="N40" s="9"/>
      <c r="O40" s="5">
        <f t="shared" si="0"/>
        <v>0</v>
      </c>
      <c r="P40" s="5">
        <f t="shared" si="1"/>
        <v>1.66</v>
      </c>
      <c r="Q40" s="6">
        <v>5.61</v>
      </c>
      <c r="R40" s="9"/>
      <c r="S40" s="6">
        <v>3.9</v>
      </c>
      <c r="T40" s="6">
        <v>0.06</v>
      </c>
      <c r="U40" s="6">
        <v>1.02</v>
      </c>
      <c r="V40" s="6">
        <v>0.1</v>
      </c>
      <c r="W40" s="9"/>
      <c r="X40" s="6">
        <v>0.12</v>
      </c>
      <c r="Y40" s="6">
        <v>0.08</v>
      </c>
      <c r="Z40" s="9"/>
      <c r="AA40" s="6"/>
      <c r="AB40" s="6"/>
      <c r="AC40" s="6">
        <v>0.15</v>
      </c>
      <c r="AD40" s="6"/>
      <c r="AE40" s="6">
        <v>0.18</v>
      </c>
      <c r="AF40" s="6">
        <f t="shared" si="2"/>
        <v>11.379999999999999</v>
      </c>
      <c r="AG40" s="6">
        <v>6.61</v>
      </c>
      <c r="AH40" s="6">
        <v>4.7699999999999996</v>
      </c>
      <c r="AI40" s="6">
        <v>2.33</v>
      </c>
      <c r="AJ40" s="6">
        <v>94.92</v>
      </c>
      <c r="AK40" s="6">
        <v>1.21</v>
      </c>
    </row>
    <row r="41" spans="1:37" ht="39" x14ac:dyDescent="0.3">
      <c r="A41" s="20" t="s">
        <v>111</v>
      </c>
      <c r="B41" s="21" t="s">
        <v>112</v>
      </c>
      <c r="C41" s="6">
        <v>1857.49</v>
      </c>
      <c r="D41" s="6">
        <v>805.74</v>
      </c>
      <c r="E41" s="6">
        <v>2.66</v>
      </c>
      <c r="F41" s="6">
        <v>2.63</v>
      </c>
      <c r="G41" s="9"/>
      <c r="H41" s="9"/>
      <c r="I41" s="6">
        <v>0.06</v>
      </c>
      <c r="J41" s="9"/>
      <c r="K41" s="6">
        <v>0.89</v>
      </c>
      <c r="L41" s="9"/>
      <c r="M41" s="9"/>
      <c r="N41" s="9"/>
      <c r="O41" s="5">
        <f t="shared" si="0"/>
        <v>0.95</v>
      </c>
      <c r="P41" s="5">
        <f t="shared" si="1"/>
        <v>3.6100000000000003</v>
      </c>
      <c r="Q41" s="6">
        <v>7.15</v>
      </c>
      <c r="R41" s="9"/>
      <c r="S41" s="6">
        <v>0.66</v>
      </c>
      <c r="T41" s="6">
        <v>0.13</v>
      </c>
      <c r="U41" s="6">
        <v>1.21</v>
      </c>
      <c r="V41" s="9"/>
      <c r="W41" s="9"/>
      <c r="X41" s="6">
        <v>0.01</v>
      </c>
      <c r="Y41" s="6">
        <v>0.1</v>
      </c>
      <c r="Z41" s="9"/>
      <c r="AA41" s="6"/>
      <c r="AB41" s="6"/>
      <c r="AC41" s="6">
        <v>5.05</v>
      </c>
      <c r="AD41" s="6"/>
      <c r="AE41" s="6"/>
      <c r="AF41" s="6">
        <f t="shared" si="2"/>
        <v>53.15</v>
      </c>
      <c r="AG41" s="6">
        <v>0.57999999999999996</v>
      </c>
      <c r="AH41" s="6">
        <v>52.57</v>
      </c>
      <c r="AI41" s="6">
        <v>2.82</v>
      </c>
      <c r="AJ41" s="6">
        <v>738.26</v>
      </c>
      <c r="AK41" s="6">
        <v>0.76</v>
      </c>
    </row>
    <row r="42" spans="1:37" ht="65" x14ac:dyDescent="0.3">
      <c r="A42" s="20" t="s">
        <v>113</v>
      </c>
      <c r="B42" s="21" t="s">
        <v>114</v>
      </c>
      <c r="C42" s="6">
        <v>703.74</v>
      </c>
      <c r="D42" s="6">
        <v>586.26</v>
      </c>
      <c r="E42" s="6">
        <v>188.33</v>
      </c>
      <c r="F42" s="6">
        <v>59</v>
      </c>
      <c r="G42" s="9"/>
      <c r="H42" s="6">
        <v>126.46</v>
      </c>
      <c r="I42" s="6">
        <v>66.88</v>
      </c>
      <c r="J42" s="6">
        <v>6.51</v>
      </c>
      <c r="K42" s="6">
        <v>14.1</v>
      </c>
      <c r="L42" s="6">
        <v>4.62</v>
      </c>
      <c r="M42" s="9"/>
      <c r="N42" s="6">
        <v>0.69</v>
      </c>
      <c r="O42" s="5">
        <f t="shared" si="0"/>
        <v>219.25999999999996</v>
      </c>
      <c r="P42" s="5">
        <f t="shared" si="1"/>
        <v>407.59</v>
      </c>
      <c r="Q42" s="6">
        <v>10.62</v>
      </c>
      <c r="R42" s="9"/>
      <c r="S42" s="6">
        <v>0.35</v>
      </c>
      <c r="T42" s="6">
        <v>0.01</v>
      </c>
      <c r="U42" s="6">
        <v>5.96</v>
      </c>
      <c r="V42" s="6">
        <v>0.92</v>
      </c>
      <c r="W42" s="9"/>
      <c r="X42" s="6">
        <v>0.03</v>
      </c>
      <c r="Y42" s="9"/>
      <c r="Z42" s="9"/>
      <c r="AA42" s="6"/>
      <c r="AB42" s="6">
        <v>2.86</v>
      </c>
      <c r="AC42" s="6">
        <v>0.44</v>
      </c>
      <c r="AD42" s="6"/>
      <c r="AE42" s="6">
        <v>0.03</v>
      </c>
      <c r="AF42" s="6">
        <f t="shared" si="2"/>
        <v>204.69</v>
      </c>
      <c r="AG42" s="6">
        <v>37.19</v>
      </c>
      <c r="AH42" s="6">
        <v>167.5</v>
      </c>
      <c r="AI42" s="6">
        <v>1.36</v>
      </c>
      <c r="AJ42" s="6">
        <v>82.46</v>
      </c>
      <c r="AK42" s="6">
        <v>6</v>
      </c>
    </row>
    <row r="43" spans="1:37" ht="91" x14ac:dyDescent="0.3">
      <c r="A43" s="20" t="s">
        <v>115</v>
      </c>
      <c r="B43" s="21" t="s">
        <v>116</v>
      </c>
      <c r="C43" s="6">
        <v>63.4</v>
      </c>
      <c r="D43" s="6">
        <v>37.409999999999997</v>
      </c>
      <c r="E43" s="6">
        <v>0.93</v>
      </c>
      <c r="F43" s="6">
        <v>0.93</v>
      </c>
      <c r="G43" s="9"/>
      <c r="H43" s="9"/>
      <c r="I43" s="9"/>
      <c r="J43" s="6">
        <v>0.35</v>
      </c>
      <c r="K43" s="9"/>
      <c r="L43" s="9"/>
      <c r="M43" s="6">
        <v>0.01</v>
      </c>
      <c r="N43" s="9"/>
      <c r="O43" s="5">
        <f t="shared" si="0"/>
        <v>0.36</v>
      </c>
      <c r="P43" s="5">
        <f t="shared" si="1"/>
        <v>1.29</v>
      </c>
      <c r="Q43" s="6">
        <v>8.89</v>
      </c>
      <c r="R43" s="9"/>
      <c r="S43" s="6">
        <v>0.61</v>
      </c>
      <c r="T43" s="6">
        <v>1.1599999999999999</v>
      </c>
      <c r="U43" s="6">
        <v>6.69</v>
      </c>
      <c r="V43" s="6">
        <v>0.25</v>
      </c>
      <c r="W43" s="9"/>
      <c r="X43" s="6">
        <v>0.14000000000000001</v>
      </c>
      <c r="Y43" s="9"/>
      <c r="Z43" s="9"/>
      <c r="AA43" s="6"/>
      <c r="AB43" s="6"/>
      <c r="AC43" s="6">
        <v>0.04</v>
      </c>
      <c r="AD43" s="6"/>
      <c r="AE43" s="6"/>
      <c r="AF43" s="6">
        <f t="shared" si="2"/>
        <v>7.99</v>
      </c>
      <c r="AG43" s="6">
        <v>2.87</v>
      </c>
      <c r="AH43" s="6">
        <v>5.12</v>
      </c>
      <c r="AI43" s="6">
        <v>0.99</v>
      </c>
      <c r="AJ43" s="6">
        <v>18.239999999999998</v>
      </c>
      <c r="AK43" s="6"/>
    </row>
    <row r="44" spans="1:37" ht="104" x14ac:dyDescent="0.3">
      <c r="A44" s="17" t="s">
        <v>117</v>
      </c>
      <c r="B44" s="19" t="s">
        <v>118</v>
      </c>
      <c r="C44" s="6">
        <v>21219.37</v>
      </c>
      <c r="D44" s="6">
        <v>9487.43</v>
      </c>
      <c r="E44" s="6">
        <v>376.82</v>
      </c>
      <c r="F44" s="6">
        <v>368.56</v>
      </c>
      <c r="G44" s="9"/>
      <c r="H44" s="6">
        <v>0.53</v>
      </c>
      <c r="I44" s="6">
        <v>97.6</v>
      </c>
      <c r="J44" s="6">
        <v>10.09</v>
      </c>
      <c r="K44" s="6">
        <v>2.2799999999999998</v>
      </c>
      <c r="L44" s="9"/>
      <c r="M44" s="6">
        <v>0.5</v>
      </c>
      <c r="N44" s="6">
        <v>0.28000000000000003</v>
      </c>
      <c r="O44" s="5">
        <f t="shared" si="0"/>
        <v>111.28</v>
      </c>
      <c r="P44" s="5">
        <f t="shared" si="1"/>
        <v>488.1</v>
      </c>
      <c r="Q44" s="6">
        <v>60.31</v>
      </c>
      <c r="R44" s="6">
        <v>0.28000000000000003</v>
      </c>
      <c r="S44" s="6">
        <v>26</v>
      </c>
      <c r="T44" s="9"/>
      <c r="U44" s="6">
        <v>29.85</v>
      </c>
      <c r="V44" s="6">
        <v>1.1200000000000001</v>
      </c>
      <c r="W44" s="9"/>
      <c r="X44" s="6">
        <v>0.5</v>
      </c>
      <c r="Y44" s="6">
        <v>0.03</v>
      </c>
      <c r="Z44" s="9"/>
      <c r="AA44" s="6"/>
      <c r="AB44" s="6">
        <v>0.02</v>
      </c>
      <c r="AC44" s="6">
        <v>0.4</v>
      </c>
      <c r="AD44" s="6">
        <v>1.83</v>
      </c>
      <c r="AE44" s="6">
        <v>0.28999999999999998</v>
      </c>
      <c r="AF44" s="6">
        <f t="shared" si="2"/>
        <v>205.38</v>
      </c>
      <c r="AG44" s="6">
        <v>87.13</v>
      </c>
      <c r="AH44" s="6">
        <v>118.25</v>
      </c>
      <c r="AI44" s="6">
        <v>489.51</v>
      </c>
      <c r="AJ44" s="6">
        <v>8235.0300000000007</v>
      </c>
      <c r="AK44" s="6">
        <v>9.6199999999999992</v>
      </c>
    </row>
    <row r="45" spans="1:37" ht="104" x14ac:dyDescent="0.3">
      <c r="A45" s="20" t="s">
        <v>119</v>
      </c>
      <c r="B45" s="21" t="s">
        <v>120</v>
      </c>
      <c r="C45" s="6">
        <v>18362.63</v>
      </c>
      <c r="D45" s="6">
        <v>8056.9</v>
      </c>
      <c r="E45" s="6">
        <v>286.76</v>
      </c>
      <c r="F45" s="6">
        <v>278.52</v>
      </c>
      <c r="G45" s="9"/>
      <c r="H45" s="6">
        <v>0.53</v>
      </c>
      <c r="I45" s="6">
        <v>97.6</v>
      </c>
      <c r="J45" s="6">
        <v>0.43</v>
      </c>
      <c r="K45" s="6">
        <v>0.28999999999999998</v>
      </c>
      <c r="L45" s="9"/>
      <c r="M45" s="9"/>
      <c r="N45" s="6">
        <v>0.28000000000000003</v>
      </c>
      <c r="O45" s="5">
        <f t="shared" si="0"/>
        <v>99.13000000000001</v>
      </c>
      <c r="P45" s="5">
        <f t="shared" si="1"/>
        <v>385.89</v>
      </c>
      <c r="Q45" s="6">
        <v>51.28</v>
      </c>
      <c r="R45" s="6">
        <v>0.23</v>
      </c>
      <c r="S45" s="6">
        <v>20.010000000000002</v>
      </c>
      <c r="T45" s="9"/>
      <c r="U45" s="6">
        <v>27.41</v>
      </c>
      <c r="V45" s="6">
        <v>1.03</v>
      </c>
      <c r="W45" s="9"/>
      <c r="X45" s="6">
        <v>0.45</v>
      </c>
      <c r="Y45" s="9"/>
      <c r="Z45" s="9"/>
      <c r="AA45" s="6"/>
      <c r="AB45" s="6">
        <v>0.02</v>
      </c>
      <c r="AC45" s="6">
        <v>0.02</v>
      </c>
      <c r="AD45" s="6">
        <v>1.83</v>
      </c>
      <c r="AE45" s="6">
        <v>0.27</v>
      </c>
      <c r="AF45" s="6">
        <f t="shared" si="2"/>
        <v>32.840000000000003</v>
      </c>
      <c r="AG45" s="6">
        <v>32.840000000000003</v>
      </c>
      <c r="AH45" s="6"/>
      <c r="AI45" s="6">
        <v>343.87</v>
      </c>
      <c r="AJ45" s="6">
        <v>7233.92</v>
      </c>
      <c r="AK45" s="6">
        <v>9.6199999999999992</v>
      </c>
    </row>
    <row r="46" spans="1:37" ht="65" x14ac:dyDescent="0.3">
      <c r="A46" s="20" t="s">
        <v>121</v>
      </c>
      <c r="B46" s="21" t="s">
        <v>122</v>
      </c>
      <c r="C46" s="6">
        <v>913.93</v>
      </c>
      <c r="D46" s="6">
        <v>617.11</v>
      </c>
      <c r="E46" s="6">
        <v>86.98</v>
      </c>
      <c r="F46" s="6">
        <v>86.98</v>
      </c>
      <c r="G46" s="9"/>
      <c r="H46" s="9"/>
      <c r="I46" s="9"/>
      <c r="J46" s="6">
        <v>9.65</v>
      </c>
      <c r="K46" s="6">
        <v>1.99</v>
      </c>
      <c r="L46" s="9"/>
      <c r="M46" s="6">
        <v>0.5</v>
      </c>
      <c r="N46" s="9"/>
      <c r="O46" s="5">
        <f t="shared" si="0"/>
        <v>12.14</v>
      </c>
      <c r="P46" s="5">
        <f t="shared" si="1"/>
        <v>99.12</v>
      </c>
      <c r="Q46" s="6">
        <v>4.53</v>
      </c>
      <c r="R46" s="9"/>
      <c r="S46" s="6">
        <v>3.35</v>
      </c>
      <c r="T46" s="9"/>
      <c r="U46" s="6">
        <v>1.08</v>
      </c>
      <c r="V46" s="9"/>
      <c r="W46" s="9"/>
      <c r="X46" s="6">
        <v>0.04</v>
      </c>
      <c r="Y46" s="9"/>
      <c r="Z46" s="9"/>
      <c r="AA46" s="6"/>
      <c r="AB46" s="6"/>
      <c r="AC46" s="6">
        <v>0.05</v>
      </c>
      <c r="AD46" s="6"/>
      <c r="AE46" s="6">
        <v>0.01</v>
      </c>
      <c r="AF46" s="6">
        <f t="shared" si="2"/>
        <v>166.32</v>
      </c>
      <c r="AG46" s="6">
        <v>48.27</v>
      </c>
      <c r="AH46" s="6">
        <v>118.05</v>
      </c>
      <c r="AI46" s="6">
        <v>138.79</v>
      </c>
      <c r="AJ46" s="6">
        <v>208.35</v>
      </c>
      <c r="AK46" s="6"/>
    </row>
    <row r="47" spans="1:37" ht="65" x14ac:dyDescent="0.3">
      <c r="A47" s="22" t="s">
        <v>123</v>
      </c>
      <c r="B47" s="23" t="s">
        <v>124</v>
      </c>
      <c r="C47" s="7">
        <v>1942.82</v>
      </c>
      <c r="D47" s="8">
        <v>813.42</v>
      </c>
      <c r="E47" s="8">
        <v>3.07</v>
      </c>
      <c r="F47" s="8">
        <v>3.05</v>
      </c>
      <c r="G47" s="10"/>
      <c r="H47" s="10"/>
      <c r="I47" s="10"/>
      <c r="J47" s="10"/>
      <c r="K47" s="10"/>
      <c r="L47" s="10"/>
      <c r="M47" s="10"/>
      <c r="N47" s="11"/>
      <c r="O47" s="5">
        <f t="shared" si="0"/>
        <v>0</v>
      </c>
      <c r="P47" s="5">
        <f t="shared" si="1"/>
        <v>3.07</v>
      </c>
      <c r="Q47" s="8">
        <v>4.51</v>
      </c>
      <c r="R47" s="8">
        <v>0.05</v>
      </c>
      <c r="S47" s="8">
        <v>2.64</v>
      </c>
      <c r="T47" s="10"/>
      <c r="U47" s="8">
        <v>1.37</v>
      </c>
      <c r="V47" s="8">
        <v>0.09</v>
      </c>
      <c r="W47" s="10"/>
      <c r="X47" s="8">
        <v>0.01</v>
      </c>
      <c r="Y47" s="8">
        <v>0.03</v>
      </c>
      <c r="Z47" s="10"/>
      <c r="AA47" s="6"/>
      <c r="AB47" s="6"/>
      <c r="AC47" s="6">
        <v>0.33</v>
      </c>
      <c r="AD47" s="6"/>
      <c r="AE47" s="6">
        <v>0.01</v>
      </c>
      <c r="AF47" s="6">
        <f t="shared" si="2"/>
        <v>6.2299999999999995</v>
      </c>
      <c r="AG47" s="6">
        <v>6.02</v>
      </c>
      <c r="AH47" s="6">
        <v>0.21</v>
      </c>
      <c r="AI47" s="6">
        <v>6.85</v>
      </c>
      <c r="AJ47" s="6">
        <v>792.76</v>
      </c>
      <c r="AK47" s="6"/>
    </row>
    <row r="48" spans="1:37" x14ac:dyDescent="0.3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</row>
  </sheetData>
  <mergeCells count="13">
    <mergeCell ref="N1:N2"/>
    <mergeCell ref="H1:H2"/>
    <mergeCell ref="I1:I2"/>
    <mergeCell ref="J1:J2"/>
    <mergeCell ref="K1:K2"/>
    <mergeCell ref="L1:L2"/>
    <mergeCell ref="M1:M2"/>
    <mergeCell ref="G1:G2"/>
    <mergeCell ref="A1:A2"/>
    <mergeCell ref="B1:B2"/>
    <mergeCell ref="C1:D1"/>
    <mergeCell ref="E1:E2"/>
    <mergeCell ref="F1:F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BDCB-FF4B-4D23-A3A1-B3F62E97FB15}">
  <dimension ref="A1:W18"/>
  <sheetViews>
    <sheetView workbookViewId="0">
      <selection activeCell="D13" sqref="D13"/>
    </sheetView>
  </sheetViews>
  <sheetFormatPr defaultRowHeight="14" x14ac:dyDescent="0.3"/>
  <cols>
    <col min="1" max="1" width="23.5" bestFit="1" customWidth="1"/>
    <col min="2" max="2" width="13" bestFit="1" customWidth="1"/>
    <col min="3" max="3" width="13" customWidth="1"/>
    <col min="4" max="4" width="13" bestFit="1" customWidth="1"/>
    <col min="5" max="5" width="13" customWidth="1"/>
    <col min="6" max="6" width="22.58203125" customWidth="1"/>
    <col min="7" max="7" width="20.1640625" customWidth="1"/>
    <col min="8" max="8" width="11.6640625" customWidth="1"/>
    <col min="9" max="9" width="12.6640625" customWidth="1"/>
    <col min="10" max="10" width="13" bestFit="1" customWidth="1"/>
    <col min="11" max="11" width="13" customWidth="1"/>
    <col min="12" max="12" width="8.5" customWidth="1"/>
    <col min="13" max="13" width="9.75" customWidth="1"/>
    <col min="18" max="18" width="9.83203125" customWidth="1"/>
    <col min="20" max="20" width="12.9140625" customWidth="1"/>
    <col min="22" max="22" width="19.25" bestFit="1" customWidth="1"/>
  </cols>
  <sheetData>
    <row r="1" spans="1:23" x14ac:dyDescent="0.3">
      <c r="B1" t="s">
        <v>222</v>
      </c>
      <c r="D1" t="s">
        <v>223</v>
      </c>
      <c r="F1" t="s">
        <v>227</v>
      </c>
      <c r="H1" t="s">
        <v>224</v>
      </c>
      <c r="J1" t="s">
        <v>225</v>
      </c>
      <c r="L1" t="s">
        <v>217</v>
      </c>
      <c r="N1" t="s">
        <v>219</v>
      </c>
      <c r="P1" t="s">
        <v>221</v>
      </c>
      <c r="R1" t="s">
        <v>228</v>
      </c>
      <c r="T1" t="s">
        <v>229</v>
      </c>
      <c r="V1" t="s">
        <v>226</v>
      </c>
    </row>
    <row r="2" spans="1:23" x14ac:dyDescent="0.3">
      <c r="A2" s="1" t="s">
        <v>8</v>
      </c>
      <c r="B2">
        <v>2254</v>
      </c>
      <c r="C2">
        <f>B2*0.7143</f>
        <v>1610.0322000000001</v>
      </c>
      <c r="D2">
        <v>23</v>
      </c>
      <c r="E2">
        <f t="shared" ref="E2:E7" si="0">D2*0.9714</f>
        <v>22.342200000000002</v>
      </c>
      <c r="F2">
        <v>0</v>
      </c>
      <c r="G2">
        <f>5.571*F2</f>
        <v>0</v>
      </c>
      <c r="H2">
        <v>0</v>
      </c>
      <c r="I2">
        <f>1.4286*H2</f>
        <v>0</v>
      </c>
      <c r="J2">
        <v>257.35000000000002</v>
      </c>
      <c r="K2">
        <f>1.4714*J2</f>
        <v>378.66479000000004</v>
      </c>
      <c r="L2">
        <v>11</v>
      </c>
      <c r="M2">
        <f>L2*1.4714</f>
        <v>16.185400000000001</v>
      </c>
      <c r="N2">
        <v>1497.15</v>
      </c>
      <c r="O2">
        <f>1.4517*N2</f>
        <v>2173.4126550000001</v>
      </c>
      <c r="P2">
        <v>1.1299999999999999</v>
      </c>
      <c r="Q2">
        <f>1.4286*P2</f>
        <v>1.6143179999999999</v>
      </c>
      <c r="R2">
        <v>6.47</v>
      </c>
      <c r="S2">
        <f>1.7043*R2</f>
        <v>11.026821</v>
      </c>
      <c r="T2">
        <v>0</v>
      </c>
      <c r="U2">
        <f>1.4*T2</f>
        <v>0</v>
      </c>
      <c r="V2">
        <v>1.3</v>
      </c>
      <c r="W2">
        <f>12.53*V2</f>
        <v>16.289000000000001</v>
      </c>
    </row>
    <row r="3" spans="1:23" x14ac:dyDescent="0.3">
      <c r="A3" s="1" t="s">
        <v>20</v>
      </c>
      <c r="B3">
        <v>639</v>
      </c>
      <c r="C3">
        <f t="shared" ref="C3:C7" si="1">B3*0.7143</f>
        <v>456.43770000000001</v>
      </c>
      <c r="D3">
        <v>4</v>
      </c>
      <c r="E3">
        <f t="shared" si="0"/>
        <v>3.8856000000000002</v>
      </c>
      <c r="F3">
        <v>0</v>
      </c>
      <c r="G3">
        <f t="shared" ref="G3:G7" si="2">5.571*F3</f>
        <v>0</v>
      </c>
      <c r="H3">
        <v>0</v>
      </c>
      <c r="I3">
        <f t="shared" ref="I3:I7" si="3">1.4286*H3</f>
        <v>0</v>
      </c>
      <c r="J3">
        <v>508.39</v>
      </c>
      <c r="K3">
        <f t="shared" ref="K3:K7" si="4">1.4714*J3</f>
        <v>748.04504599999996</v>
      </c>
      <c r="L3">
        <v>10.81</v>
      </c>
      <c r="M3">
        <f t="shared" ref="M3:M7" si="5">L3*1.4714</f>
        <v>15.905834</v>
      </c>
      <c r="N3">
        <v>503.92</v>
      </c>
      <c r="O3">
        <f t="shared" ref="O3:O7" si="6">1.4517*N3</f>
        <v>731.54066399999999</v>
      </c>
      <c r="P3">
        <v>40.14</v>
      </c>
      <c r="Q3">
        <f t="shared" ref="Q3:Q7" si="7">1.4286*P3</f>
        <v>57.344004000000005</v>
      </c>
      <c r="R3">
        <v>11.34</v>
      </c>
      <c r="S3">
        <f t="shared" ref="S3:S7" si="8">1.7043*R3</f>
        <v>19.326761999999999</v>
      </c>
      <c r="T3">
        <v>3105.8</v>
      </c>
      <c r="U3">
        <f t="shared" ref="U3:U7" si="9">1.4*T3</f>
        <v>4348.12</v>
      </c>
      <c r="V3">
        <v>2.64</v>
      </c>
      <c r="W3">
        <f t="shared" ref="W3:W7" si="10">12.53*V3</f>
        <v>33.0792</v>
      </c>
    </row>
    <row r="4" spans="1:23" x14ac:dyDescent="0.3">
      <c r="A4" s="1" t="s">
        <v>22</v>
      </c>
      <c r="B4">
        <v>241</v>
      </c>
      <c r="C4">
        <f t="shared" si="1"/>
        <v>172.14630000000002</v>
      </c>
      <c r="D4">
        <v>0</v>
      </c>
      <c r="E4">
        <f t="shared" si="0"/>
        <v>0</v>
      </c>
      <c r="F4">
        <v>0</v>
      </c>
      <c r="G4">
        <f t="shared" si="2"/>
        <v>0</v>
      </c>
      <c r="H4">
        <v>0</v>
      </c>
      <c r="I4">
        <f t="shared" si="3"/>
        <v>0</v>
      </c>
      <c r="J4">
        <v>5573.57</v>
      </c>
      <c r="K4">
        <f t="shared" si="4"/>
        <v>8200.9508979999991</v>
      </c>
      <c r="L4">
        <v>3110.76</v>
      </c>
      <c r="M4">
        <f t="shared" si="5"/>
        <v>4577.1722640000007</v>
      </c>
      <c r="N4">
        <v>9531.98</v>
      </c>
      <c r="O4">
        <f t="shared" si="6"/>
        <v>13837.575365999999</v>
      </c>
      <c r="P4">
        <v>2301.7800000000002</v>
      </c>
      <c r="Q4">
        <f t="shared" si="7"/>
        <v>3288.3229080000006</v>
      </c>
      <c r="R4">
        <v>110.61</v>
      </c>
      <c r="S4">
        <f t="shared" si="8"/>
        <v>188.51262299999999</v>
      </c>
      <c r="T4">
        <v>111.24</v>
      </c>
      <c r="U4">
        <f t="shared" si="9"/>
        <v>155.73599999999999</v>
      </c>
      <c r="V4">
        <v>354.29</v>
      </c>
      <c r="W4">
        <f t="shared" si="10"/>
        <v>4439.2537000000002</v>
      </c>
    </row>
    <row r="5" spans="1:23" x14ac:dyDescent="0.3">
      <c r="A5" s="1" t="s">
        <v>21</v>
      </c>
      <c r="B5">
        <v>1981</v>
      </c>
      <c r="C5">
        <f t="shared" si="1"/>
        <v>1415.0283000000002</v>
      </c>
      <c r="D5">
        <v>0</v>
      </c>
      <c r="E5">
        <f t="shared" si="0"/>
        <v>0</v>
      </c>
      <c r="F5">
        <v>10.24</v>
      </c>
      <c r="G5">
        <f t="shared" si="2"/>
        <v>57.047039999999996</v>
      </c>
      <c r="H5">
        <v>0</v>
      </c>
      <c r="I5">
        <f t="shared" si="3"/>
        <v>0</v>
      </c>
      <c r="J5">
        <v>273.23</v>
      </c>
      <c r="K5">
        <f t="shared" si="4"/>
        <v>402.03062200000005</v>
      </c>
      <c r="L5">
        <v>14.76</v>
      </c>
      <c r="M5">
        <f t="shared" si="5"/>
        <v>21.717863999999999</v>
      </c>
      <c r="N5">
        <v>197.61</v>
      </c>
      <c r="O5">
        <f t="shared" si="6"/>
        <v>286.87043700000004</v>
      </c>
      <c r="P5">
        <v>11.8</v>
      </c>
      <c r="Q5">
        <f t="shared" si="7"/>
        <v>16.857480000000002</v>
      </c>
      <c r="R5">
        <v>85.87</v>
      </c>
      <c r="S5">
        <f t="shared" si="8"/>
        <v>146.348241</v>
      </c>
      <c r="T5">
        <v>0</v>
      </c>
      <c r="U5">
        <f t="shared" si="9"/>
        <v>0</v>
      </c>
      <c r="V5">
        <v>62.14</v>
      </c>
      <c r="W5">
        <f t="shared" si="10"/>
        <v>778.61419999999998</v>
      </c>
    </row>
    <row r="6" spans="1:23" x14ac:dyDescent="0.3">
      <c r="A6" s="1" t="s">
        <v>23</v>
      </c>
      <c r="B6">
        <v>2571</v>
      </c>
      <c r="C6">
        <f t="shared" si="1"/>
        <v>1836.4653000000001</v>
      </c>
      <c r="D6">
        <v>0</v>
      </c>
      <c r="E6">
        <f t="shared" si="0"/>
        <v>0</v>
      </c>
      <c r="F6">
        <v>0.88</v>
      </c>
      <c r="G6">
        <f t="shared" si="2"/>
        <v>4.9024799999999997</v>
      </c>
      <c r="H6">
        <v>0.6</v>
      </c>
      <c r="I6">
        <f t="shared" si="3"/>
        <v>0.85716000000000003</v>
      </c>
      <c r="J6">
        <v>2253.09</v>
      </c>
      <c r="K6">
        <f t="shared" si="4"/>
        <v>3315.1966260000004</v>
      </c>
      <c r="L6">
        <v>182.96</v>
      </c>
      <c r="M6">
        <f t="shared" si="5"/>
        <v>269.20734400000003</v>
      </c>
      <c r="N6">
        <v>946.15</v>
      </c>
      <c r="O6">
        <f t="shared" si="6"/>
        <v>1373.5259550000001</v>
      </c>
      <c r="P6">
        <v>6.59</v>
      </c>
      <c r="Q6">
        <f t="shared" si="7"/>
        <v>9.4144740000000002</v>
      </c>
      <c r="R6">
        <v>81.099999999999994</v>
      </c>
      <c r="S6">
        <f t="shared" si="8"/>
        <v>138.21872999999999</v>
      </c>
      <c r="T6">
        <v>0</v>
      </c>
      <c r="U6">
        <f t="shared" si="9"/>
        <v>0</v>
      </c>
      <c r="V6">
        <v>61.04</v>
      </c>
      <c r="W6">
        <f t="shared" si="10"/>
        <v>764.83119999999997</v>
      </c>
    </row>
    <row r="7" spans="1:23" x14ac:dyDescent="0.3">
      <c r="A7" s="1" t="s">
        <v>25</v>
      </c>
      <c r="B7">
        <v>6283</v>
      </c>
      <c r="C7">
        <f t="shared" si="1"/>
        <v>4487.9468999999999</v>
      </c>
      <c r="D7">
        <v>11.4</v>
      </c>
      <c r="E7">
        <f t="shared" si="0"/>
        <v>11.073960000000001</v>
      </c>
      <c r="F7">
        <v>49.7</v>
      </c>
      <c r="G7">
        <f t="shared" si="2"/>
        <v>276.87869999999998</v>
      </c>
      <c r="H7">
        <v>0</v>
      </c>
      <c r="I7">
        <f t="shared" si="3"/>
        <v>0</v>
      </c>
      <c r="J7">
        <v>3717.56</v>
      </c>
      <c r="K7">
        <f t="shared" si="4"/>
        <v>5470.0177839999997</v>
      </c>
      <c r="L7">
        <v>12.42</v>
      </c>
      <c r="M7">
        <f t="shared" si="5"/>
        <v>18.274788000000001</v>
      </c>
      <c r="N7">
        <v>579.78</v>
      </c>
      <c r="O7">
        <f t="shared" si="6"/>
        <v>841.66662599999995</v>
      </c>
      <c r="P7">
        <v>0</v>
      </c>
      <c r="Q7">
        <f t="shared" si="7"/>
        <v>0</v>
      </c>
      <c r="R7">
        <v>2860.35</v>
      </c>
      <c r="S7">
        <f t="shared" si="8"/>
        <v>4874.8945049999993</v>
      </c>
      <c r="T7">
        <v>0</v>
      </c>
      <c r="U7">
        <f t="shared" si="9"/>
        <v>0</v>
      </c>
      <c r="V7">
        <v>592.26</v>
      </c>
      <c r="W7">
        <f t="shared" si="10"/>
        <v>7421.0177999999996</v>
      </c>
    </row>
    <row r="11" spans="1:23" x14ac:dyDescent="0.3">
      <c r="C11" t="s">
        <v>162</v>
      </c>
      <c r="D11" t="s">
        <v>163</v>
      </c>
      <c r="E11" t="s">
        <v>165</v>
      </c>
    </row>
    <row r="12" spans="1:23" x14ac:dyDescent="0.3">
      <c r="C12">
        <f>SUM(C2+E2+G2)</f>
        <v>1632.3744000000002</v>
      </c>
      <c r="D12">
        <f>I2+K2+M2+O2+Q2+S2+U2</f>
        <v>2580.903984</v>
      </c>
      <c r="E12">
        <f>W2</f>
        <v>16.289000000000001</v>
      </c>
    </row>
    <row r="13" spans="1:23" x14ac:dyDescent="0.3">
      <c r="C13">
        <f>SUM(C3+E3+G3)</f>
        <v>460.32330000000002</v>
      </c>
      <c r="D13">
        <f>I3+K3+M3+O3+Q3+S3+U3</f>
        <v>5920.2823099999996</v>
      </c>
      <c r="E13">
        <f t="shared" ref="E13:E17" si="11">W3</f>
        <v>33.0792</v>
      </c>
    </row>
    <row r="14" spans="1:23" x14ac:dyDescent="0.3">
      <c r="C14">
        <f>SUM(C4+E4+G4)</f>
        <v>172.14630000000002</v>
      </c>
      <c r="D14">
        <f>I4+K4+M4+O4+Q4+S4+U4</f>
        <v>30248.270059000002</v>
      </c>
      <c r="E14">
        <f t="shared" si="11"/>
        <v>4439.2537000000002</v>
      </c>
    </row>
    <row r="15" spans="1:23" x14ac:dyDescent="0.3">
      <c r="C15">
        <f>SUM(C5+E5+G5)</f>
        <v>1472.0753400000001</v>
      </c>
      <c r="D15">
        <f t="shared" ref="D15:D17" si="12">I5+K5+M5+O5+Q5+S5+U5</f>
        <v>873.82464400000015</v>
      </c>
      <c r="E15">
        <f t="shared" si="11"/>
        <v>778.61419999999998</v>
      </c>
    </row>
    <row r="16" spans="1:23" x14ac:dyDescent="0.3">
      <c r="C16">
        <f t="shared" ref="C16:C17" si="13">SUM(C6+E6+G6)</f>
        <v>1841.36778</v>
      </c>
      <c r="D16">
        <f t="shared" si="12"/>
        <v>5106.4202889999997</v>
      </c>
      <c r="E16">
        <f t="shared" si="11"/>
        <v>764.83119999999997</v>
      </c>
    </row>
    <row r="17" spans="3:5" x14ac:dyDescent="0.3">
      <c r="C17">
        <f t="shared" si="13"/>
        <v>4775.8995599999998</v>
      </c>
      <c r="D17">
        <f t="shared" si="12"/>
        <v>11204.853702999999</v>
      </c>
      <c r="E17">
        <f t="shared" si="11"/>
        <v>7421.0177999999996</v>
      </c>
    </row>
    <row r="18" spans="3:5" x14ac:dyDescent="0.3">
      <c r="D18">
        <f>SUM(D12:D17)</f>
        <v>55934.554989000004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7A47-6664-4173-A781-FD415DD049BE}">
  <dimension ref="A1:D13"/>
  <sheetViews>
    <sheetView workbookViewId="0">
      <selection activeCell="D8" sqref="D8"/>
    </sheetView>
  </sheetViews>
  <sheetFormatPr defaultRowHeight="14" x14ac:dyDescent="0.3"/>
  <cols>
    <col min="1" max="1" width="13.58203125" customWidth="1"/>
    <col min="2" max="2" width="12.33203125" customWidth="1"/>
    <col min="4" max="4" width="13.58203125" style="34" customWidth="1"/>
  </cols>
  <sheetData>
    <row r="1" spans="1:4" x14ac:dyDescent="0.3">
      <c r="A1" s="30" t="s">
        <v>238</v>
      </c>
      <c r="B1" s="31" t="s">
        <v>239</v>
      </c>
      <c r="C1" s="27">
        <v>76264</v>
      </c>
    </row>
    <row r="2" spans="1:4" x14ac:dyDescent="0.3">
      <c r="A2" s="32" t="s">
        <v>240</v>
      </c>
      <c r="B2" s="33" t="s">
        <v>239</v>
      </c>
      <c r="C2" s="27">
        <v>13553</v>
      </c>
      <c r="D2" s="34">
        <v>0.177711633273891</v>
      </c>
    </row>
    <row r="3" spans="1:4" ht="26" x14ac:dyDescent="0.3">
      <c r="A3" s="32" t="s">
        <v>241</v>
      </c>
      <c r="B3" s="33" t="s">
        <v>239</v>
      </c>
      <c r="C3" s="27">
        <v>335</v>
      </c>
      <c r="D3" s="34">
        <v>4.3926361061575577E-3</v>
      </c>
    </row>
    <row r="4" spans="1:4" x14ac:dyDescent="0.3">
      <c r="A4" s="32" t="s">
        <v>242</v>
      </c>
      <c r="B4" s="33" t="s">
        <v>239</v>
      </c>
      <c r="C4" s="27">
        <v>51770</v>
      </c>
      <c r="D4" s="34">
        <v>0.67882618273366202</v>
      </c>
    </row>
    <row r="5" spans="1:4" x14ac:dyDescent="0.3">
      <c r="A5" s="32" t="s">
        <v>243</v>
      </c>
      <c r="B5" s="33" t="s">
        <v>239</v>
      </c>
      <c r="C5" s="27">
        <v>46296</v>
      </c>
      <c r="D5" s="34">
        <v>0.60704919752438902</v>
      </c>
    </row>
    <row r="6" spans="1:4" x14ac:dyDescent="0.3">
      <c r="A6" s="32" t="s">
        <v>244</v>
      </c>
      <c r="B6" s="33" t="s">
        <v>239</v>
      </c>
      <c r="C6" s="27">
        <v>2525</v>
      </c>
      <c r="D6" s="34">
        <v>3.2808675128500997E-2</v>
      </c>
    </row>
    <row r="7" spans="1:4" x14ac:dyDescent="0.3">
      <c r="A7" s="32" t="s">
        <v>245</v>
      </c>
      <c r="B7" s="33" t="s">
        <v>239</v>
      </c>
      <c r="C7" s="27">
        <v>12</v>
      </c>
      <c r="D7" s="34">
        <v>1.5734815902653939E-4</v>
      </c>
    </row>
    <row r="8" spans="1:4" ht="26" x14ac:dyDescent="0.3">
      <c r="A8" s="32" t="s">
        <v>246</v>
      </c>
      <c r="B8" s="33" t="s">
        <v>239</v>
      </c>
      <c r="C8" s="27">
        <v>1355</v>
      </c>
      <c r="D8" s="34">
        <v>1.7767229623413407E-2</v>
      </c>
    </row>
    <row r="9" spans="1:4" x14ac:dyDescent="0.3">
      <c r="A9" s="32" t="s">
        <v>247</v>
      </c>
      <c r="B9" s="33" t="s">
        <v>239</v>
      </c>
      <c r="C9" s="27">
        <v>3662</v>
      </c>
      <c r="D9" s="34">
        <v>4.8017413196265603E-2</v>
      </c>
    </row>
    <row r="10" spans="1:4" x14ac:dyDescent="0.3">
      <c r="A10" s="32" t="s">
        <v>248</v>
      </c>
      <c r="B10" s="33" t="s">
        <v>239</v>
      </c>
      <c r="C10" s="27">
        <v>4665</v>
      </c>
      <c r="D10" s="34">
        <v>6.1169096821567188E-2</v>
      </c>
    </row>
    <row r="11" spans="1:4" x14ac:dyDescent="0.3">
      <c r="A11" s="32" t="s">
        <v>249</v>
      </c>
      <c r="B11" s="33" t="s">
        <v>239</v>
      </c>
      <c r="C11" s="27">
        <v>2611</v>
      </c>
      <c r="D11" s="34">
        <v>3.4236336934857864E-2</v>
      </c>
    </row>
    <row r="12" spans="1:4" x14ac:dyDescent="0.3">
      <c r="A12" s="32" t="s">
        <v>250</v>
      </c>
      <c r="B12" s="33" t="s">
        <v>239</v>
      </c>
      <c r="C12" s="27">
        <v>3</v>
      </c>
      <c r="D12" s="35">
        <v>3.3933703975663401E-4</v>
      </c>
    </row>
    <row r="13" spans="1:4" x14ac:dyDescent="0.3">
      <c r="C13">
        <f>C2+C4+C9+C10+C11+C12</f>
        <v>76264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2B702-9963-4F93-BD9B-32512FC8C9C0}">
  <dimension ref="A1:U4"/>
  <sheetViews>
    <sheetView workbookViewId="0">
      <selection activeCell="R3" sqref="R3"/>
    </sheetView>
  </sheetViews>
  <sheetFormatPr defaultRowHeight="14" x14ac:dyDescent="0.3"/>
  <cols>
    <col min="3" max="3" width="11.08203125" customWidth="1"/>
    <col min="4" max="4" width="12.4140625" customWidth="1"/>
    <col min="6" max="6" width="10.83203125" customWidth="1"/>
    <col min="7" max="7" width="11.58203125" customWidth="1"/>
    <col min="8" max="8" width="10.75" customWidth="1"/>
    <col min="9" max="9" width="13.5" customWidth="1"/>
    <col min="15" max="15" width="11.08203125" customWidth="1"/>
    <col min="16" max="16" width="11.1640625" customWidth="1"/>
    <col min="17" max="17" width="11.83203125" customWidth="1"/>
    <col min="19" max="19" width="10.08203125" bestFit="1" customWidth="1"/>
  </cols>
  <sheetData>
    <row r="1" spans="1:21" ht="14.5" x14ac:dyDescent="0.3">
      <c r="A1" s="36" t="s">
        <v>253</v>
      </c>
      <c r="B1" s="36" t="s">
        <v>26</v>
      </c>
      <c r="C1" s="36" t="s">
        <v>254</v>
      </c>
      <c r="D1" s="36" t="s">
        <v>255</v>
      </c>
      <c r="E1" s="36" t="s">
        <v>256</v>
      </c>
      <c r="F1" s="36" t="s">
        <v>214</v>
      </c>
      <c r="G1" s="36" t="s">
        <v>257</v>
      </c>
      <c r="H1" s="36" t="s">
        <v>258</v>
      </c>
      <c r="I1" s="36" t="s">
        <v>259</v>
      </c>
      <c r="J1" s="36" t="s">
        <v>27</v>
      </c>
      <c r="K1" s="36" t="s">
        <v>215</v>
      </c>
      <c r="L1" s="36" t="s">
        <v>216</v>
      </c>
      <c r="M1" s="36" t="s">
        <v>218</v>
      </c>
      <c r="N1" s="36" t="s">
        <v>220</v>
      </c>
      <c r="O1" s="36" t="s">
        <v>260</v>
      </c>
      <c r="P1" s="36" t="s">
        <v>261</v>
      </c>
      <c r="Q1" s="36" t="s">
        <v>262</v>
      </c>
      <c r="R1" s="36" t="s">
        <v>2</v>
      </c>
      <c r="S1" s="36" t="s">
        <v>263</v>
      </c>
      <c r="T1" s="36" t="s">
        <v>4</v>
      </c>
      <c r="U1" s="36" t="s">
        <v>166</v>
      </c>
    </row>
    <row r="2" spans="1:21" x14ac:dyDescent="0.3">
      <c r="A2" t="s">
        <v>264</v>
      </c>
      <c r="B2">
        <v>35434.18</v>
      </c>
      <c r="C2">
        <v>0</v>
      </c>
      <c r="D2">
        <v>1499.1</v>
      </c>
      <c r="E2">
        <v>762.82</v>
      </c>
      <c r="F2">
        <v>280.27999999999997</v>
      </c>
      <c r="G2">
        <v>57.17</v>
      </c>
      <c r="H2">
        <v>550.83000000000004</v>
      </c>
      <c r="I2">
        <v>0</v>
      </c>
      <c r="J2">
        <v>0</v>
      </c>
      <c r="K2">
        <v>0</v>
      </c>
      <c r="L2">
        <v>0</v>
      </c>
      <c r="M2">
        <v>2.91</v>
      </c>
      <c r="N2">
        <v>231.38</v>
      </c>
      <c r="O2">
        <v>7.71</v>
      </c>
      <c r="P2">
        <v>165.2</v>
      </c>
      <c r="Q2">
        <v>270.5</v>
      </c>
      <c r="R2">
        <v>169.66</v>
      </c>
      <c r="S2">
        <v>613906.6</v>
      </c>
      <c r="T2">
        <v>0</v>
      </c>
      <c r="U2">
        <v>689.73</v>
      </c>
    </row>
    <row r="3" spans="1:21" x14ac:dyDescent="0.3">
      <c r="B3">
        <f>0.7143*B2</f>
        <v>25310.634774000002</v>
      </c>
      <c r="D3">
        <f>0.4286*D2</f>
        <v>642.51425999999992</v>
      </c>
      <c r="E3">
        <f>E2*0.7143</f>
        <v>544.88232600000003</v>
      </c>
      <c r="F3">
        <f>0.9714*F2</f>
        <v>272.26399199999997</v>
      </c>
      <c r="G3">
        <f>5.571*G2</f>
        <v>318.49407000000002</v>
      </c>
      <c r="H3">
        <f>5.571*H2</f>
        <v>3068.6739299999999</v>
      </c>
      <c r="M3">
        <f>1.4571*M2</f>
        <v>4.2401610000000005</v>
      </c>
      <c r="N3">
        <f>1.4586*N2</f>
        <v>337.49086799999998</v>
      </c>
      <c r="O3">
        <f>1.7134*O2</f>
        <v>13.210314</v>
      </c>
      <c r="P3">
        <f>1.5714*P2</f>
        <v>259.59527999999995</v>
      </c>
      <c r="Q3">
        <f>Q2*1.4</f>
        <v>378.7</v>
      </c>
      <c r="R3">
        <f>12.5*R2</f>
        <v>2120.75</v>
      </c>
      <c r="S3">
        <f>S2*0.0341</f>
        <v>20934.215059999999</v>
      </c>
      <c r="T3">
        <v>0</v>
      </c>
      <c r="U3">
        <v>689.73</v>
      </c>
    </row>
    <row r="4" spans="1:21" x14ac:dyDescent="0.3">
      <c r="U4">
        <f>U3/S3</f>
        <v>3.2947497578636228E-2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BDF7-1A6C-4F8D-A8DB-8D140E765626}">
  <dimension ref="B1:AB74"/>
  <sheetViews>
    <sheetView topLeftCell="D16" workbookViewId="0">
      <selection activeCell="R36" sqref="R36"/>
    </sheetView>
  </sheetViews>
  <sheetFormatPr defaultRowHeight="14" x14ac:dyDescent="0.3"/>
  <cols>
    <col min="2" max="2" width="33.83203125" customWidth="1"/>
    <col min="3" max="4" width="9.1640625" bestFit="1" customWidth="1"/>
    <col min="10" max="10" width="9.1640625" bestFit="1" customWidth="1"/>
    <col min="23" max="23" width="12.6640625" customWidth="1"/>
    <col min="26" max="26" width="15.1640625" customWidth="1"/>
    <col min="27" max="27" width="12.33203125" customWidth="1"/>
  </cols>
  <sheetData>
    <row r="1" spans="2:24" ht="38" customHeight="1" x14ac:dyDescent="0.3">
      <c r="C1" s="25" t="s">
        <v>161</v>
      </c>
      <c r="D1" s="26" t="s">
        <v>164</v>
      </c>
      <c r="E1" s="25" t="s">
        <v>3</v>
      </c>
      <c r="F1" s="25" t="s">
        <v>5</v>
      </c>
      <c r="G1" s="28" t="s">
        <v>0</v>
      </c>
      <c r="H1" s="29" t="s">
        <v>230</v>
      </c>
      <c r="I1" s="29" t="s">
        <v>231</v>
      </c>
      <c r="J1" s="29" t="s">
        <v>232</v>
      </c>
      <c r="K1" s="29" t="s">
        <v>233</v>
      </c>
      <c r="L1" s="29" t="s">
        <v>234</v>
      </c>
      <c r="M1" s="29" t="s">
        <v>235</v>
      </c>
      <c r="N1" s="29" t="s">
        <v>236</v>
      </c>
      <c r="O1" s="29" t="s">
        <v>237</v>
      </c>
      <c r="P1" s="25" t="s">
        <v>6</v>
      </c>
      <c r="Q1" s="25" t="s">
        <v>251</v>
      </c>
      <c r="R1" s="25" t="s">
        <v>230</v>
      </c>
      <c r="S1" s="25" t="s">
        <v>231</v>
      </c>
      <c r="T1" s="25" t="s">
        <v>265</v>
      </c>
      <c r="U1" s="25" t="s">
        <v>235</v>
      </c>
      <c r="V1" s="25" t="s">
        <v>33</v>
      </c>
      <c r="W1" s="25" t="s">
        <v>237</v>
      </c>
      <c r="X1" s="25" t="s">
        <v>252</v>
      </c>
    </row>
    <row r="2" spans="2:24" s="37" customFormat="1" ht="38" customHeight="1" x14ac:dyDescent="0.3">
      <c r="B2" s="28" t="s">
        <v>167</v>
      </c>
      <c r="C2" s="29">
        <v>1632.3744000000002</v>
      </c>
      <c r="D2" s="39">
        <v>28803.940160999999</v>
      </c>
      <c r="E2" s="29">
        <v>16.289000000000001</v>
      </c>
      <c r="F2">
        <v>1803.3489536200602</v>
      </c>
      <c r="G2" s="29">
        <f>F2*0.607</f>
        <v>1094.6328148473765</v>
      </c>
      <c r="H2" s="29">
        <f>F2*0.0002</f>
        <v>0.36066979072401206</v>
      </c>
      <c r="I2" s="29">
        <f>F2*0.0328</f>
        <v>59.149845678737982</v>
      </c>
      <c r="J2" s="29">
        <v>310.57870620109003</v>
      </c>
      <c r="K2" s="29">
        <f>F2*0.048</f>
        <v>86.560749773762893</v>
      </c>
      <c r="L2" s="29">
        <f>0.0612*F2</f>
        <v>110.36495596154768</v>
      </c>
      <c r="M2" s="29">
        <f>0.0342*F2</f>
        <v>61.674534213806062</v>
      </c>
      <c r="N2" s="29">
        <f>0.0178*F2</f>
        <v>32.099611374437075</v>
      </c>
      <c r="O2" s="29">
        <f>0.00034*F2</f>
        <v>0.61313864423082054</v>
      </c>
      <c r="P2" s="29">
        <v>3.8154490000000001</v>
      </c>
      <c r="Q2" s="38">
        <f>P2*0.65</f>
        <v>2.4800418500000001</v>
      </c>
      <c r="R2" s="38">
        <f>P2*0.1</f>
        <v>0.38154490000000002</v>
      </c>
      <c r="S2" s="38">
        <f>P2*0.2</f>
        <v>0.76308980000000004</v>
      </c>
      <c r="T2" s="38">
        <f>P2*0.03</f>
        <v>0.11446347</v>
      </c>
      <c r="U2" s="38">
        <f>P2*0.015</f>
        <v>5.7231734999999999E-2</v>
      </c>
      <c r="V2" s="38">
        <f>P2*0.01</f>
        <v>3.8154489999999999E-2</v>
      </c>
      <c r="W2" s="38">
        <f>P2*0.025</f>
        <v>9.5386225000000005E-2</v>
      </c>
      <c r="X2" s="29">
        <v>666.23</v>
      </c>
    </row>
    <row r="3" spans="2:24" s="38" customFormat="1" x14ac:dyDescent="0.3">
      <c r="B3" s="37" t="s">
        <v>284</v>
      </c>
      <c r="C3" s="38">
        <v>2439.14</v>
      </c>
      <c r="D3" s="38">
        <v>1248.93</v>
      </c>
      <c r="E3" s="38">
        <v>1863.34</v>
      </c>
      <c r="F3">
        <v>3253.8741620000005</v>
      </c>
      <c r="G3" s="38">
        <f t="shared" ref="G3" si="0">F3*0.607</f>
        <v>1975.1016163340003</v>
      </c>
      <c r="H3" s="38">
        <f t="shared" ref="H3" si="1">F3*0.0002</f>
        <v>0.65077483240000011</v>
      </c>
      <c r="I3" s="38">
        <f t="shared" ref="I3" si="2">F3*0.0328</f>
        <v>106.72707251360002</v>
      </c>
      <c r="J3" s="38">
        <v>560.39294300000006</v>
      </c>
      <c r="K3" s="38">
        <f t="shared" ref="K3" si="3">F3*0.048</f>
        <v>156.18595977600003</v>
      </c>
      <c r="L3" s="38">
        <f t="shared" ref="L3" si="4">0.0612*F3</f>
        <v>199.13709871440003</v>
      </c>
      <c r="M3" s="38">
        <f t="shared" ref="M3" si="5">0.0342*F3</f>
        <v>111.28249634040002</v>
      </c>
      <c r="N3" s="38">
        <f t="shared" ref="N3" si="6">0.0178*F3</f>
        <v>57.918960083600005</v>
      </c>
      <c r="O3" s="38">
        <f t="shared" ref="O3" si="7">0.00034*F3</f>
        <v>1.1063172150800002</v>
      </c>
      <c r="P3" s="38">
        <v>204.07</v>
      </c>
      <c r="Q3" s="38">
        <f t="shared" ref="Q3:Q18" si="8">P3*0.65</f>
        <v>132.6455</v>
      </c>
      <c r="R3" s="38">
        <f t="shared" ref="R3:R18" si="9">P3*0.1</f>
        <v>20.407</v>
      </c>
      <c r="S3" s="38">
        <f t="shared" ref="S3:S18" si="10">P3*0.2</f>
        <v>40.814</v>
      </c>
      <c r="T3" s="38">
        <f t="shared" ref="T3:T18" si="11">P3*0.03</f>
        <v>6.1220999999999997</v>
      </c>
      <c r="U3" s="38">
        <f t="shared" ref="U3" si="12">P3*0.015</f>
        <v>3.0610499999999998</v>
      </c>
      <c r="V3" s="38">
        <f t="shared" ref="V3:V18" si="13">P3*0.01</f>
        <v>2.0407000000000002</v>
      </c>
      <c r="W3" s="38">
        <f t="shared" ref="W3" si="14">P3*0.025</f>
        <v>5.10175</v>
      </c>
      <c r="X3" s="38">
        <v>9.85</v>
      </c>
    </row>
    <row r="4" spans="2:24" x14ac:dyDescent="0.3">
      <c r="B4" s="37" t="s">
        <v>266</v>
      </c>
      <c r="C4">
        <v>1248.03</v>
      </c>
      <c r="D4">
        <v>56.83</v>
      </c>
      <c r="E4">
        <v>920.3</v>
      </c>
      <c r="F4">
        <v>1779.6899120000003</v>
      </c>
      <c r="G4">
        <v>1046.9778799999999</v>
      </c>
      <c r="H4">
        <v>0.344968</v>
      </c>
      <c r="I4">
        <v>56.574752000000011</v>
      </c>
      <c r="J4">
        <v>306.50406799999996</v>
      </c>
      <c r="K4">
        <v>82.792320000000004</v>
      </c>
      <c r="L4">
        <v>105.56020799999999</v>
      </c>
      <c r="M4">
        <v>58.989528000000007</v>
      </c>
      <c r="N4">
        <v>30.702152000000002</v>
      </c>
      <c r="O4">
        <v>0.58644560000000001</v>
      </c>
      <c r="P4">
        <v>805.90000000000009</v>
      </c>
      <c r="Q4" s="38">
        <f t="shared" si="8"/>
        <v>523.83500000000004</v>
      </c>
      <c r="R4" s="38">
        <f t="shared" si="9"/>
        <v>80.590000000000018</v>
      </c>
      <c r="S4" s="38">
        <f t="shared" si="10"/>
        <v>161.18000000000004</v>
      </c>
      <c r="T4" s="38">
        <f t="shared" si="11"/>
        <v>24.177000000000003</v>
      </c>
      <c r="U4">
        <v>12.088499999999998</v>
      </c>
      <c r="V4" s="38">
        <f t="shared" si="13"/>
        <v>8.0590000000000011</v>
      </c>
      <c r="W4">
        <v>20.147500000000001</v>
      </c>
      <c r="X4">
        <v>242.79999999999998</v>
      </c>
    </row>
    <row r="5" spans="2:24" x14ac:dyDescent="0.3">
      <c r="B5" t="s">
        <v>268</v>
      </c>
      <c r="C5">
        <v>250.78</v>
      </c>
      <c r="D5">
        <v>30.16</v>
      </c>
      <c r="E5">
        <v>833.01</v>
      </c>
      <c r="F5">
        <v>2550.8572319999998</v>
      </c>
      <c r="G5">
        <v>1500.64968</v>
      </c>
      <c r="H5">
        <v>0.49444800000000005</v>
      </c>
      <c r="I5">
        <v>81.089472000000001</v>
      </c>
      <c r="J5">
        <v>439.31704799999994</v>
      </c>
      <c r="K5">
        <v>118.66752</v>
      </c>
      <c r="L5">
        <v>151.30108799999996</v>
      </c>
      <c r="M5">
        <v>84.550607999999997</v>
      </c>
      <c r="N5">
        <v>44.005871999999997</v>
      </c>
      <c r="O5">
        <v>0.84056160000000002</v>
      </c>
      <c r="P5">
        <v>1110.1600000000001</v>
      </c>
      <c r="Q5" s="38">
        <f t="shared" si="8"/>
        <v>721.60400000000004</v>
      </c>
      <c r="R5" s="38">
        <f t="shared" si="9"/>
        <v>111.01600000000002</v>
      </c>
      <c r="S5" s="38">
        <f t="shared" si="10"/>
        <v>222.03200000000004</v>
      </c>
      <c r="T5" s="38">
        <f t="shared" si="11"/>
        <v>33.3048</v>
      </c>
      <c r="U5">
        <v>16.6524</v>
      </c>
      <c r="V5" s="38">
        <f t="shared" si="13"/>
        <v>11.101600000000001</v>
      </c>
      <c r="W5">
        <v>27.754000000000005</v>
      </c>
      <c r="X5">
        <v>66.09</v>
      </c>
    </row>
    <row r="6" spans="2:24" x14ac:dyDescent="0.3">
      <c r="B6" t="s">
        <v>280</v>
      </c>
      <c r="C6">
        <v>428.40999999999997</v>
      </c>
      <c r="D6">
        <v>39.049999999999997</v>
      </c>
      <c r="E6">
        <v>332.40999999999997</v>
      </c>
      <c r="F6">
        <v>1525.46471</v>
      </c>
      <c r="G6">
        <v>897.41914999999995</v>
      </c>
      <c r="H6">
        <v>0.29569000000000001</v>
      </c>
      <c r="I6">
        <v>48.493160000000003</v>
      </c>
      <c r="J6">
        <v>262.72056499999997</v>
      </c>
      <c r="K6">
        <v>70.965599999999995</v>
      </c>
      <c r="L6">
        <v>90.481139999999996</v>
      </c>
      <c r="M6">
        <v>50.562989999999999</v>
      </c>
      <c r="N6">
        <v>26.316409999999998</v>
      </c>
      <c r="O6">
        <v>0.50267299999999993</v>
      </c>
      <c r="P6">
        <v>800.86</v>
      </c>
      <c r="Q6" s="38">
        <f t="shared" si="8"/>
        <v>520.55900000000008</v>
      </c>
      <c r="R6" s="38">
        <f t="shared" si="9"/>
        <v>80.086000000000013</v>
      </c>
      <c r="S6" s="38">
        <f t="shared" si="10"/>
        <v>160.17200000000003</v>
      </c>
      <c r="T6" s="38">
        <f t="shared" si="11"/>
        <v>24.0258</v>
      </c>
      <c r="U6">
        <v>12.0129</v>
      </c>
      <c r="V6" s="38">
        <f t="shared" si="13"/>
        <v>8.0085999999999995</v>
      </c>
      <c r="W6">
        <v>20.0215</v>
      </c>
      <c r="X6">
        <v>147</v>
      </c>
    </row>
    <row r="7" spans="2:24" x14ac:dyDescent="0.3">
      <c r="B7" t="s">
        <v>278</v>
      </c>
      <c r="C7">
        <v>20.049999999999997</v>
      </c>
      <c r="D7">
        <v>30.18</v>
      </c>
      <c r="E7">
        <v>270.33999999999997</v>
      </c>
      <c r="F7">
        <v>275.90332000000001</v>
      </c>
      <c r="G7">
        <v>162.31179999999998</v>
      </c>
      <c r="H7">
        <v>5.348E-2</v>
      </c>
      <c r="I7">
        <v>8.7707200000000007</v>
      </c>
      <c r="J7">
        <v>47.516980000000004</v>
      </c>
      <c r="K7">
        <v>12.8352</v>
      </c>
      <c r="L7">
        <v>16.364879999999999</v>
      </c>
      <c r="M7">
        <v>9.1450800000000001</v>
      </c>
      <c r="N7">
        <v>4.7597199999999997</v>
      </c>
      <c r="O7">
        <v>9.0915999999999997E-2</v>
      </c>
      <c r="P7">
        <v>20.759999999999998</v>
      </c>
      <c r="Q7" s="38">
        <f t="shared" si="8"/>
        <v>13.494</v>
      </c>
      <c r="R7" s="38">
        <f t="shared" si="9"/>
        <v>2.0760000000000001</v>
      </c>
      <c r="S7" s="38">
        <f t="shared" si="10"/>
        <v>4.1520000000000001</v>
      </c>
      <c r="T7" s="38">
        <f t="shared" si="11"/>
        <v>0.62279999999999991</v>
      </c>
      <c r="U7">
        <v>0.31139999999999995</v>
      </c>
      <c r="V7" s="38">
        <f t="shared" si="13"/>
        <v>0.20759999999999998</v>
      </c>
      <c r="W7">
        <v>0.51900000000000002</v>
      </c>
      <c r="X7">
        <v>12.629999999999999</v>
      </c>
    </row>
    <row r="8" spans="2:24" x14ac:dyDescent="0.3">
      <c r="B8" t="s">
        <v>276</v>
      </c>
      <c r="C8">
        <v>18463.48</v>
      </c>
      <c r="D8">
        <v>28426.379999999997</v>
      </c>
      <c r="E8">
        <v>7483.85</v>
      </c>
      <c r="F8">
        <v>11952.979962000003</v>
      </c>
      <c r="G8">
        <v>7031.8461300000008</v>
      </c>
      <c r="H8">
        <v>2.3169180000000003</v>
      </c>
      <c r="I8">
        <v>379.97455200000013</v>
      </c>
      <c r="J8">
        <v>2058.581643</v>
      </c>
      <c r="K8">
        <v>556.06032000000005</v>
      </c>
      <c r="L8">
        <v>708.97690799999987</v>
      </c>
      <c r="M8">
        <v>396.19297800000004</v>
      </c>
      <c r="N8">
        <v>206.20570199999997</v>
      </c>
      <c r="O8">
        <v>3.9387606000000002</v>
      </c>
      <c r="P8">
        <v>8814.9</v>
      </c>
      <c r="Q8" s="38">
        <f t="shared" si="8"/>
        <v>5729.6850000000004</v>
      </c>
      <c r="R8" s="38">
        <f t="shared" si="9"/>
        <v>881.49</v>
      </c>
      <c r="S8" s="38">
        <f t="shared" si="10"/>
        <v>1762.98</v>
      </c>
      <c r="T8" s="38">
        <f t="shared" si="11"/>
        <v>264.447</v>
      </c>
      <c r="U8">
        <v>132.2235</v>
      </c>
      <c r="V8" s="38">
        <f t="shared" si="13"/>
        <v>88.149000000000001</v>
      </c>
      <c r="W8">
        <v>220.37250000000003</v>
      </c>
      <c r="X8">
        <v>332.93</v>
      </c>
    </row>
    <row r="9" spans="2:24" x14ac:dyDescent="0.3">
      <c r="B9" t="s">
        <v>275</v>
      </c>
      <c r="C9">
        <v>23273.1</v>
      </c>
      <c r="D9">
        <v>3619.49</v>
      </c>
      <c r="E9">
        <v>2888.57</v>
      </c>
      <c r="F9">
        <v>4982.9646020000009</v>
      </c>
      <c r="G9">
        <v>2931.4397300000001</v>
      </c>
      <c r="H9">
        <v>0.96587800000000013</v>
      </c>
      <c r="I9">
        <v>158.40399200000002</v>
      </c>
      <c r="J9">
        <v>858.18260300000009</v>
      </c>
      <c r="K9">
        <v>231.81072000000003</v>
      </c>
      <c r="L9">
        <v>295.55866800000001</v>
      </c>
      <c r="M9">
        <v>165.16513800000001</v>
      </c>
      <c r="N9">
        <v>85.963142000000005</v>
      </c>
      <c r="O9">
        <v>1.6419926000000002</v>
      </c>
      <c r="P9">
        <v>163.19</v>
      </c>
      <c r="Q9" s="38">
        <f t="shared" si="8"/>
        <v>106.0735</v>
      </c>
      <c r="R9" s="38">
        <f t="shared" si="9"/>
        <v>16.318999999999999</v>
      </c>
      <c r="S9" s="38">
        <f t="shared" si="10"/>
        <v>32.637999999999998</v>
      </c>
      <c r="T9" s="38">
        <f t="shared" si="11"/>
        <v>4.8956999999999997</v>
      </c>
      <c r="U9">
        <v>2.4478499999999999</v>
      </c>
      <c r="V9" s="38">
        <f t="shared" si="13"/>
        <v>1.6318999999999999</v>
      </c>
      <c r="W9">
        <v>4.0797499999999998</v>
      </c>
      <c r="X9">
        <v>83.03</v>
      </c>
    </row>
    <row r="10" spans="2:24" x14ac:dyDescent="0.3">
      <c r="B10" t="s">
        <v>273</v>
      </c>
      <c r="C10">
        <v>66360</v>
      </c>
      <c r="D10">
        <v>506.32</v>
      </c>
      <c r="E10">
        <v>3447.02</v>
      </c>
      <c r="F10">
        <v>19617.675308000002</v>
      </c>
      <c r="G10">
        <v>11540.92742</v>
      </c>
      <c r="H10">
        <v>3.8026119999999999</v>
      </c>
      <c r="I10">
        <v>623.62836800000002</v>
      </c>
      <c r="J10">
        <v>3378.6207620000005</v>
      </c>
      <c r="K10">
        <v>912.62687999999991</v>
      </c>
      <c r="L10">
        <v>1163.5992719999999</v>
      </c>
      <c r="M10">
        <v>650.24665200000004</v>
      </c>
      <c r="N10">
        <v>338.43246800000003</v>
      </c>
      <c r="O10">
        <v>6.4644404</v>
      </c>
      <c r="P10">
        <v>1399.6000000000001</v>
      </c>
      <c r="Q10" s="38">
        <f t="shared" si="8"/>
        <v>909.74000000000012</v>
      </c>
      <c r="R10" s="38">
        <f t="shared" si="9"/>
        <v>139.96</v>
      </c>
      <c r="S10" s="38">
        <f t="shared" si="10"/>
        <v>279.92</v>
      </c>
      <c r="T10" s="38">
        <f t="shared" si="11"/>
        <v>41.988</v>
      </c>
      <c r="U10">
        <v>20.994</v>
      </c>
      <c r="V10" s="38">
        <f t="shared" si="13"/>
        <v>13.996000000000002</v>
      </c>
      <c r="W10">
        <v>34.99</v>
      </c>
      <c r="X10">
        <v>59.01</v>
      </c>
    </row>
    <row r="11" spans="2:24" x14ac:dyDescent="0.3">
      <c r="B11" s="1" t="s">
        <v>282</v>
      </c>
      <c r="C11">
        <v>515.51</v>
      </c>
      <c r="D11">
        <v>247.67000000000002</v>
      </c>
      <c r="E11">
        <v>1739.8600000000001</v>
      </c>
      <c r="F11">
        <v>6986.204302000001</v>
      </c>
      <c r="G11">
        <v>4109.9302299999999</v>
      </c>
      <c r="H11">
        <v>1.3541780000000001</v>
      </c>
      <c r="I11">
        <v>222.08519200000001</v>
      </c>
      <c r="J11">
        <v>1203.1871529999999</v>
      </c>
      <c r="K11">
        <v>325.00272000000001</v>
      </c>
      <c r="L11">
        <v>414.37846799999994</v>
      </c>
      <c r="M11">
        <v>231.564438</v>
      </c>
      <c r="N11">
        <v>120.52184200000001</v>
      </c>
      <c r="O11">
        <v>2.3021026</v>
      </c>
      <c r="P11">
        <v>242.46</v>
      </c>
      <c r="Q11" s="38">
        <f t="shared" si="8"/>
        <v>157.59900000000002</v>
      </c>
      <c r="R11" s="38">
        <f t="shared" si="9"/>
        <v>24.246000000000002</v>
      </c>
      <c r="S11" s="38">
        <f t="shared" si="10"/>
        <v>48.492000000000004</v>
      </c>
      <c r="T11" s="38">
        <f t="shared" si="11"/>
        <v>7.2737999999999996</v>
      </c>
      <c r="U11">
        <v>3.6368999999999998</v>
      </c>
      <c r="V11" s="38">
        <f t="shared" si="13"/>
        <v>2.4246000000000003</v>
      </c>
      <c r="W11">
        <v>6.0614999999999997</v>
      </c>
      <c r="X11">
        <v>20.810000000000002</v>
      </c>
    </row>
    <row r="12" spans="2:24" x14ac:dyDescent="0.3">
      <c r="B12" t="s">
        <v>111</v>
      </c>
      <c r="C12">
        <v>412.49</v>
      </c>
      <c r="D12">
        <v>26.66</v>
      </c>
      <c r="E12">
        <v>265.83</v>
      </c>
      <c r="F12">
        <v>865.63892800000008</v>
      </c>
      <c r="G12">
        <v>509.24871999999999</v>
      </c>
      <c r="H12">
        <v>0.16779200000000002</v>
      </c>
      <c r="I12">
        <v>27.517888000000003</v>
      </c>
      <c r="J12">
        <v>149.08319200000003</v>
      </c>
      <c r="K12">
        <v>40.270080000000007</v>
      </c>
      <c r="L12">
        <v>51.344351999999994</v>
      </c>
      <c r="M12">
        <v>28.692432</v>
      </c>
      <c r="N12">
        <v>14.933488000000001</v>
      </c>
      <c r="O12">
        <v>0.28524640000000001</v>
      </c>
      <c r="P12">
        <v>5.17</v>
      </c>
      <c r="Q12" s="38">
        <f t="shared" si="8"/>
        <v>3.3605</v>
      </c>
      <c r="R12" s="38">
        <f t="shared" si="9"/>
        <v>0.51700000000000002</v>
      </c>
      <c r="S12" s="38">
        <f t="shared" si="10"/>
        <v>1.034</v>
      </c>
      <c r="T12" s="38">
        <f t="shared" si="11"/>
        <v>0.15509999999999999</v>
      </c>
      <c r="U12">
        <v>7.7550000000000008E-2</v>
      </c>
      <c r="V12" s="38">
        <f t="shared" si="13"/>
        <v>5.1700000000000003E-2</v>
      </c>
      <c r="W12">
        <v>0.12925</v>
      </c>
      <c r="X12">
        <v>6.76</v>
      </c>
    </row>
    <row r="13" spans="2:24" x14ac:dyDescent="0.3">
      <c r="B13" t="s">
        <v>285</v>
      </c>
      <c r="C13">
        <v>488.1</v>
      </c>
      <c r="D13">
        <v>60.31</v>
      </c>
      <c r="E13">
        <v>205.38</v>
      </c>
      <c r="F13">
        <v>8496.9039540000012</v>
      </c>
      <c r="G13">
        <v>4998.6632100000006</v>
      </c>
      <c r="H13">
        <v>1.6470060000000002</v>
      </c>
      <c r="I13">
        <v>270.10898400000002</v>
      </c>
      <c r="J13">
        <v>1463.3648310000001</v>
      </c>
      <c r="K13">
        <v>395.28144000000003</v>
      </c>
      <c r="L13">
        <v>503.983836</v>
      </c>
      <c r="M13">
        <v>281.63802600000002</v>
      </c>
      <c r="N13">
        <v>146.58353400000001</v>
      </c>
      <c r="O13">
        <v>2.7999102000000002</v>
      </c>
      <c r="P13">
        <v>489.51</v>
      </c>
      <c r="Q13" s="38">
        <f t="shared" si="8"/>
        <v>318.18150000000003</v>
      </c>
      <c r="R13" s="38">
        <f t="shared" si="9"/>
        <v>48.951000000000001</v>
      </c>
      <c r="S13" s="38">
        <f t="shared" si="10"/>
        <v>97.902000000000001</v>
      </c>
      <c r="T13" s="38">
        <f t="shared" si="11"/>
        <v>14.6853</v>
      </c>
      <c r="U13">
        <v>7.3426499999999999</v>
      </c>
      <c r="V13" s="38">
        <f t="shared" si="13"/>
        <v>4.8951000000000002</v>
      </c>
      <c r="W13">
        <v>12.23775</v>
      </c>
      <c r="X13">
        <v>9.6199999999999992</v>
      </c>
    </row>
    <row r="14" spans="2:24" x14ac:dyDescent="0.3">
      <c r="B14" t="s">
        <v>168</v>
      </c>
      <c r="C14">
        <v>460.32330000000002</v>
      </c>
      <c r="D14">
        <v>5920.2823099999996</v>
      </c>
      <c r="E14">
        <v>33.0792</v>
      </c>
      <c r="F14">
        <v>1282.1624775159203</v>
      </c>
      <c r="G14">
        <v>754.28631891080011</v>
      </c>
      <c r="H14">
        <v>0.24852926488000004</v>
      </c>
      <c r="I14">
        <v>40.758799440320011</v>
      </c>
      <c r="J14">
        <v>220.81825184588001</v>
      </c>
      <c r="K14">
        <v>59.647023571200009</v>
      </c>
      <c r="L14">
        <v>76.049955053280001</v>
      </c>
      <c r="M14">
        <v>42.498504294480007</v>
      </c>
      <c r="N14">
        <v>22.119104574320001</v>
      </c>
      <c r="O14">
        <v>0.42249975029600007</v>
      </c>
      <c r="P14">
        <v>65.919050999999996</v>
      </c>
      <c r="Q14" s="38">
        <f t="shared" si="8"/>
        <v>42.847383149999999</v>
      </c>
      <c r="R14" s="38">
        <f t="shared" si="9"/>
        <v>6.5919051</v>
      </c>
      <c r="S14" s="38">
        <f t="shared" si="10"/>
        <v>13.1838102</v>
      </c>
      <c r="T14" s="38">
        <f t="shared" si="11"/>
        <v>1.9775715299999999</v>
      </c>
      <c r="U14">
        <v>0.98878576499999993</v>
      </c>
      <c r="V14" s="38">
        <f t="shared" si="13"/>
        <v>0.65919050999999995</v>
      </c>
      <c r="W14">
        <v>1.647976275</v>
      </c>
      <c r="X14">
        <v>28.55</v>
      </c>
    </row>
    <row r="15" spans="2:24" x14ac:dyDescent="0.3">
      <c r="B15" t="s">
        <v>286</v>
      </c>
      <c r="C15">
        <v>172.14630000000002</v>
      </c>
      <c r="D15">
        <v>30248.270059000002</v>
      </c>
      <c r="E15">
        <v>4439.2537000000002</v>
      </c>
      <c r="F15">
        <v>2220.3905016108206</v>
      </c>
      <c r="G15">
        <v>1306.2386455493001</v>
      </c>
      <c r="H15">
        <v>0.43039164598000007</v>
      </c>
      <c r="I15">
        <v>70.584229940720022</v>
      </c>
      <c r="J15">
        <v>382.40297745323005</v>
      </c>
      <c r="K15">
        <v>103.29399503520001</v>
      </c>
      <c r="L15">
        <v>131.69984366988001</v>
      </c>
      <c r="M15">
        <v>73.596971462580015</v>
      </c>
      <c r="N15">
        <v>38.304856492220004</v>
      </c>
      <c r="O15">
        <v>0.73166579816600019</v>
      </c>
      <c r="P15">
        <v>133.159818</v>
      </c>
      <c r="Q15" s="38">
        <f t="shared" si="8"/>
        <v>86.553881700000005</v>
      </c>
      <c r="R15" s="38">
        <f t="shared" si="9"/>
        <v>13.315981800000001</v>
      </c>
      <c r="S15" s="38">
        <f t="shared" si="10"/>
        <v>26.631963600000002</v>
      </c>
      <c r="T15" s="38">
        <f t="shared" si="11"/>
        <v>3.99479454</v>
      </c>
      <c r="U15">
        <v>1.99739727</v>
      </c>
      <c r="V15" s="38">
        <f t="shared" si="13"/>
        <v>1.3315981800000001</v>
      </c>
      <c r="W15">
        <v>3.3289954500000003</v>
      </c>
      <c r="X15">
        <v>1208.26</v>
      </c>
    </row>
    <row r="16" spans="2:24" x14ac:dyDescent="0.3">
      <c r="B16" t="s">
        <v>287</v>
      </c>
      <c r="C16">
        <v>1472.0753400000001</v>
      </c>
      <c r="D16">
        <v>873.82464400000015</v>
      </c>
      <c r="E16">
        <v>778.61419999999998</v>
      </c>
      <c r="F16">
        <v>3042.0201427308002</v>
      </c>
      <c r="G16">
        <v>1789.597040742</v>
      </c>
      <c r="H16">
        <v>0.58965306120000005</v>
      </c>
      <c r="I16">
        <v>96.703102036800018</v>
      </c>
      <c r="J16">
        <v>523.90674487620004</v>
      </c>
      <c r="K16">
        <v>141.51673468800001</v>
      </c>
      <c r="L16">
        <v>180.4338367272</v>
      </c>
      <c r="M16">
        <v>100.83067346520001</v>
      </c>
      <c r="N16">
        <v>52.479122446800005</v>
      </c>
      <c r="O16">
        <v>1.0024102040400003</v>
      </c>
      <c r="P16">
        <v>354.83505199999996</v>
      </c>
      <c r="Q16" s="38">
        <f t="shared" si="8"/>
        <v>230.64278379999999</v>
      </c>
      <c r="R16" s="38">
        <f t="shared" si="9"/>
        <v>35.483505199999996</v>
      </c>
      <c r="S16" s="38">
        <f t="shared" si="10"/>
        <v>70.967010399999992</v>
      </c>
      <c r="T16" s="38">
        <f t="shared" si="11"/>
        <v>10.645051559999999</v>
      </c>
      <c r="U16">
        <v>5.3225257799999994</v>
      </c>
      <c r="V16" s="38">
        <f t="shared" si="13"/>
        <v>3.5483505199999996</v>
      </c>
      <c r="W16">
        <v>8.870876299999999</v>
      </c>
      <c r="X16">
        <v>64</v>
      </c>
    </row>
    <row r="17" spans="2:24" x14ac:dyDescent="0.3">
      <c r="B17" t="s">
        <v>288</v>
      </c>
      <c r="C17">
        <v>1841.36778</v>
      </c>
      <c r="D17">
        <v>5106.4202889999997</v>
      </c>
      <c r="E17">
        <v>764.83119999999997</v>
      </c>
      <c r="F17">
        <v>7793.9712719145209</v>
      </c>
      <c r="G17">
        <v>4585.1333223997999</v>
      </c>
      <c r="H17">
        <v>1.5107523302800001</v>
      </c>
      <c r="I17">
        <v>247.76338216592004</v>
      </c>
      <c r="J17">
        <v>1342.3034454537799</v>
      </c>
      <c r="K17">
        <v>362.58055926719999</v>
      </c>
      <c r="L17">
        <v>462.29021306568001</v>
      </c>
      <c r="M17">
        <v>258.33864847787999</v>
      </c>
      <c r="N17">
        <v>134.45695739492001</v>
      </c>
      <c r="O17">
        <v>2.5682789614760004</v>
      </c>
      <c r="P17">
        <v>723.18802600000004</v>
      </c>
      <c r="Q17" s="38">
        <f t="shared" si="8"/>
        <v>470.07221690000006</v>
      </c>
      <c r="R17" s="38">
        <f t="shared" si="9"/>
        <v>72.318802600000012</v>
      </c>
      <c r="S17" s="38">
        <f t="shared" si="10"/>
        <v>144.63760520000002</v>
      </c>
      <c r="T17" s="38">
        <f t="shared" si="11"/>
        <v>21.695640780000002</v>
      </c>
      <c r="U17">
        <v>10.847820390000001</v>
      </c>
      <c r="V17" s="38">
        <f t="shared" si="13"/>
        <v>7.2318802600000005</v>
      </c>
      <c r="W17">
        <v>18.079700650000003</v>
      </c>
      <c r="X17">
        <v>245.5</v>
      </c>
    </row>
    <row r="18" spans="2:24" x14ac:dyDescent="0.3">
      <c r="B18" t="s">
        <v>24</v>
      </c>
      <c r="C18">
        <v>4775.8995599999998</v>
      </c>
      <c r="D18">
        <v>11204.853702999999</v>
      </c>
      <c r="E18">
        <v>7421.0177999999996</v>
      </c>
      <c r="F18">
        <v>13880.534026488362</v>
      </c>
      <c r="G18">
        <v>8165.8113530514001</v>
      </c>
      <c r="H18">
        <v>2.6905473980400005</v>
      </c>
      <c r="I18">
        <v>441.24977327856004</v>
      </c>
      <c r="J18">
        <v>2390.55136315854</v>
      </c>
      <c r="K18">
        <v>645.73137552960009</v>
      </c>
      <c r="L18">
        <v>823.30750380024006</v>
      </c>
      <c r="M18">
        <v>460.08360506484007</v>
      </c>
      <c r="N18">
        <v>239.45871842556002</v>
      </c>
      <c r="O18">
        <v>4.5739305766680003</v>
      </c>
      <c r="P18">
        <v>4820.0138580000003</v>
      </c>
      <c r="Q18" s="38">
        <f t="shared" si="8"/>
        <v>3133.0090077000004</v>
      </c>
      <c r="R18" s="38">
        <f t="shared" si="9"/>
        <v>482.00138580000004</v>
      </c>
      <c r="S18" s="38">
        <f t="shared" si="10"/>
        <v>964.00277160000007</v>
      </c>
      <c r="T18" s="38">
        <f t="shared" si="11"/>
        <v>144.60041573999999</v>
      </c>
      <c r="U18">
        <v>72.300207869999994</v>
      </c>
      <c r="V18" s="38">
        <f t="shared" si="13"/>
        <v>48.200138580000001</v>
      </c>
      <c r="W18">
        <v>120.50034645000001</v>
      </c>
      <c r="X18">
        <v>2387.64</v>
      </c>
    </row>
    <row r="19" spans="2:24" x14ac:dyDescent="0.3">
      <c r="G19">
        <v>54400.215061834693</v>
      </c>
      <c r="H19">
        <f t="shared" ref="H19:N19" si="15">SUM(H2:H18)</f>
        <v>17.924288323504015</v>
      </c>
      <c r="I19">
        <f t="shared" si="15"/>
        <v>2939.5832850546585</v>
      </c>
      <c r="J19">
        <f t="shared" si="15"/>
        <v>15898.033276988721</v>
      </c>
      <c r="K19">
        <f t="shared" si="15"/>
        <v>4301.8291976409637</v>
      </c>
      <c r="L19">
        <f t="shared" si="15"/>
        <v>5484.8322269922273</v>
      </c>
      <c r="M19">
        <f t="shared" si="15"/>
        <v>3065.0533033191859</v>
      </c>
      <c r="N19">
        <f t="shared" si="15"/>
        <v>1595.2616607918571</v>
      </c>
      <c r="Q19">
        <f>SUM(Q2:Q18)</f>
        <v>13102.382315100002</v>
      </c>
      <c r="R19">
        <f>SUM(R2:R18)</f>
        <v>2015.7511254000003</v>
      </c>
      <c r="S19">
        <f>SUM(S2:S18)</f>
        <v>4031.5022508000006</v>
      </c>
    </row>
    <row r="35" spans="2:28" x14ac:dyDescent="0.3">
      <c r="B35" t="s">
        <v>289</v>
      </c>
      <c r="C35" t="s">
        <v>290</v>
      </c>
      <c r="D35" t="s">
        <v>291</v>
      </c>
      <c r="F35" t="s">
        <v>292</v>
      </c>
      <c r="G35" t="s">
        <v>293</v>
      </c>
      <c r="H35" t="s">
        <v>294</v>
      </c>
      <c r="J35" t="s">
        <v>295</v>
      </c>
      <c r="K35" t="s">
        <v>296</v>
      </c>
      <c r="L35" t="s">
        <v>297</v>
      </c>
      <c r="N35" t="s">
        <v>28</v>
      </c>
      <c r="O35" t="s">
        <v>30</v>
      </c>
      <c r="P35" t="s">
        <v>298</v>
      </c>
      <c r="R35" t="s">
        <v>29</v>
      </c>
      <c r="S35" t="s">
        <v>299</v>
      </c>
      <c r="T35" t="s">
        <v>300</v>
      </c>
      <c r="V35" t="s">
        <v>301</v>
      </c>
      <c r="W35" t="s">
        <v>302</v>
      </c>
      <c r="X35" t="s">
        <v>303</v>
      </c>
      <c r="Z35" t="s">
        <v>304</v>
      </c>
      <c r="AA35" t="s">
        <v>305</v>
      </c>
    </row>
    <row r="36" spans="2:28" x14ac:dyDescent="0.3">
      <c r="B36">
        <v>1805.61184</v>
      </c>
      <c r="C36">
        <v>1094.6328148473765</v>
      </c>
      <c r="D36">
        <v>2.4800418500000001</v>
      </c>
      <c r="E36">
        <f t="shared" ref="E36:E53" si="16">SUM(B36:D36)</f>
        <v>2902.7246966973762</v>
      </c>
      <c r="F36">
        <v>2940.903984</v>
      </c>
      <c r="G36">
        <v>0.36066979072401206</v>
      </c>
      <c r="H36">
        <v>0.38154490000000002</v>
      </c>
      <c r="I36">
        <f t="shared" ref="I36:I53" si="17">SUM(F36:H36)</f>
        <v>2941.6461986907238</v>
      </c>
      <c r="J36">
        <v>15.384055555555557</v>
      </c>
      <c r="K36">
        <v>59.149845678737982</v>
      </c>
      <c r="L36">
        <v>0.76308980000000004</v>
      </c>
      <c r="M36">
        <f t="shared" ref="M36:M53" si="18">SUM(J36:L36)</f>
        <v>75.296991034293541</v>
      </c>
      <c r="N36">
        <v>321.79028032511201</v>
      </c>
      <c r="O36">
        <v>88.291964769238149</v>
      </c>
      <c r="P36">
        <v>3.8917579799999998E-2</v>
      </c>
      <c r="Q36">
        <f t="shared" ref="Q36:Q53" si="19">SUM(O36:P36)</f>
        <v>88.330882349038149</v>
      </c>
      <c r="R36">
        <v>118.020430300971</v>
      </c>
      <c r="S36">
        <v>70.599652227013095</v>
      </c>
      <c r="T36">
        <v>5.7231734999999999E-2</v>
      </c>
      <c r="U36">
        <f t="shared" ref="U36:U53" si="20">SUM(S36:T36)</f>
        <v>70.656883962013097</v>
      </c>
      <c r="V36">
        <v>732.85300000000007</v>
      </c>
      <c r="W36">
        <v>32.099611374437075</v>
      </c>
      <c r="X36">
        <v>0.11446347</v>
      </c>
      <c r="Y36">
        <f t="shared" ref="Y36:Y53" si="21">SUM(V36:X36)</f>
        <v>765.06707484443712</v>
      </c>
      <c r="Z36">
        <v>0.61313864423082054</v>
      </c>
      <c r="AA36">
        <v>9.5386225000000005E-2</v>
      </c>
      <c r="AB36">
        <f t="shared" ref="AB36:AB53" si="22">SUM(Z36:AA36)</f>
        <v>0.70852486923082059</v>
      </c>
    </row>
    <row r="37" spans="2:28" x14ac:dyDescent="0.3">
      <c r="B37">
        <v>2691.0540000000001</v>
      </c>
      <c r="C37">
        <v>1975.1016163340003</v>
      </c>
      <c r="D37">
        <v>132.6455</v>
      </c>
      <c r="E37">
        <f t="shared" si="16"/>
        <v>4798.8011163339997</v>
      </c>
      <c r="F37">
        <v>1250.7750000000001</v>
      </c>
      <c r="G37">
        <v>0.65077483240000011</v>
      </c>
      <c r="H37">
        <v>20.407</v>
      </c>
      <c r="I37">
        <f t="shared" si="17"/>
        <v>1271.8327748324</v>
      </c>
      <c r="J37">
        <v>1789.82111111111</v>
      </c>
      <c r="K37">
        <v>106.72707251360002</v>
      </c>
      <c r="L37">
        <v>40.814</v>
      </c>
      <c r="M37">
        <f t="shared" si="18"/>
        <v>1937.36218362471</v>
      </c>
      <c r="N37">
        <v>585.60080186000005</v>
      </c>
      <c r="O37">
        <v>159.30967897152004</v>
      </c>
      <c r="P37">
        <v>2.0815140000000003</v>
      </c>
      <c r="Q37">
        <f t="shared" si="19"/>
        <v>161.39119297152004</v>
      </c>
      <c r="R37">
        <v>220.124155195116</v>
      </c>
      <c r="S37">
        <v>142.95173378550601</v>
      </c>
      <c r="T37">
        <v>3.0610499999999998</v>
      </c>
      <c r="U37">
        <f t="shared" si="20"/>
        <v>146.012783785506</v>
      </c>
      <c r="V37">
        <v>10.835000000000001</v>
      </c>
      <c r="W37">
        <v>57.918960083600005</v>
      </c>
      <c r="X37">
        <v>6.1220999999999997</v>
      </c>
      <c r="Y37">
        <f t="shared" si="21"/>
        <v>74.876060083600009</v>
      </c>
      <c r="Z37">
        <v>1.1063172150800002</v>
      </c>
      <c r="AA37">
        <v>5.10175</v>
      </c>
      <c r="AB37">
        <f t="shared" si="22"/>
        <v>6.2080672150799998</v>
      </c>
    </row>
    <row r="38" spans="2:28" x14ac:dyDescent="0.3">
      <c r="B38">
        <v>1372.8330000000001</v>
      </c>
      <c r="C38">
        <v>1046.9778799999999</v>
      </c>
      <c r="D38">
        <v>523.83500000000004</v>
      </c>
      <c r="E38">
        <f t="shared" si="16"/>
        <v>2943.64588</v>
      </c>
      <c r="F38">
        <v>21.358333333333299</v>
      </c>
      <c r="G38">
        <v>0.344968</v>
      </c>
      <c r="H38">
        <v>80.590000000000018</v>
      </c>
      <c r="I38">
        <f t="shared" si="17"/>
        <v>102.29330133333332</v>
      </c>
      <c r="J38">
        <v>884.17222222222199</v>
      </c>
      <c r="K38">
        <v>56.574752000000011</v>
      </c>
      <c r="L38">
        <v>161.18000000000004</v>
      </c>
      <c r="M38">
        <f t="shared" si="18"/>
        <v>1101.926974222222</v>
      </c>
      <c r="N38">
        <v>328.63414935999998</v>
      </c>
      <c r="O38">
        <v>84.448166400000005</v>
      </c>
      <c r="P38">
        <v>8.2201800000000009</v>
      </c>
      <c r="Q38">
        <f t="shared" si="19"/>
        <v>92.668346400000004</v>
      </c>
      <c r="R38">
        <v>107.14361111999997</v>
      </c>
      <c r="S38">
        <v>62.874370919999997</v>
      </c>
      <c r="T38">
        <v>12.088499999999998</v>
      </c>
      <c r="U38">
        <f t="shared" si="20"/>
        <v>74.96287092</v>
      </c>
      <c r="V38">
        <v>267.08</v>
      </c>
      <c r="W38">
        <v>30.702152000000002</v>
      </c>
      <c r="X38">
        <v>24.177000000000003</v>
      </c>
      <c r="Y38">
        <f t="shared" si="21"/>
        <v>321.95915200000002</v>
      </c>
      <c r="Z38">
        <v>0.58644560000000001</v>
      </c>
      <c r="AA38">
        <v>20.147500000000001</v>
      </c>
      <c r="AB38">
        <f t="shared" si="22"/>
        <v>20.733945600000002</v>
      </c>
    </row>
    <row r="39" spans="2:28" x14ac:dyDescent="0.3">
      <c r="B39">
        <v>275.858</v>
      </c>
      <c r="C39">
        <v>1500.64968</v>
      </c>
      <c r="D39">
        <v>721.60400000000004</v>
      </c>
      <c r="E39">
        <f t="shared" si="16"/>
        <v>2498.11168</v>
      </c>
      <c r="F39">
        <v>28.133333333333301</v>
      </c>
      <c r="G39">
        <v>0.49444800000000005</v>
      </c>
      <c r="H39">
        <v>118.01600000000001</v>
      </c>
      <c r="I39">
        <f t="shared" si="17"/>
        <v>146.64378133333329</v>
      </c>
      <c r="J39">
        <v>786.73166666666668</v>
      </c>
      <c r="K39">
        <v>81.089472000000001</v>
      </c>
      <c r="L39">
        <v>222.03200000000004</v>
      </c>
      <c r="M39">
        <f t="shared" si="18"/>
        <v>1089.8531386666668</v>
      </c>
      <c r="N39">
        <v>471.10338896000002</v>
      </c>
      <c r="O39">
        <v>121.0408704</v>
      </c>
      <c r="P39">
        <v>11.323632000000002</v>
      </c>
      <c r="Q39">
        <f t="shared" si="19"/>
        <v>132.36450239999999</v>
      </c>
      <c r="R39">
        <v>153.57060431999994</v>
      </c>
      <c r="S39">
        <v>89.818867119999993</v>
      </c>
      <c r="T39">
        <v>16.6524</v>
      </c>
      <c r="U39">
        <f t="shared" si="20"/>
        <v>106.47126711999999</v>
      </c>
      <c r="V39">
        <v>72.699000000000012</v>
      </c>
      <c r="W39">
        <v>44.005871999999997</v>
      </c>
      <c r="X39">
        <v>33.3048</v>
      </c>
      <c r="Y39">
        <f t="shared" si="21"/>
        <v>150.00967200000002</v>
      </c>
      <c r="Z39">
        <v>0.84056160000000002</v>
      </c>
      <c r="AA39">
        <v>27.754000000000005</v>
      </c>
      <c r="AB39">
        <f t="shared" si="22"/>
        <v>28.594561600000006</v>
      </c>
    </row>
    <row r="40" spans="2:28" x14ac:dyDescent="0.3">
      <c r="B40">
        <v>471.25099999999998</v>
      </c>
      <c r="C40">
        <v>917.41914999999995</v>
      </c>
      <c r="D40">
        <v>520.55900000000008</v>
      </c>
      <c r="E40">
        <f t="shared" si="16"/>
        <v>1909.2291500000001</v>
      </c>
      <c r="F40">
        <v>36.5416666666667</v>
      </c>
      <c r="G40">
        <v>0.29569000000000001</v>
      </c>
      <c r="H40">
        <v>83.085999999999999</v>
      </c>
      <c r="I40">
        <f t="shared" si="17"/>
        <v>119.92335666666671</v>
      </c>
      <c r="J40">
        <v>332.94277777777802</v>
      </c>
      <c r="K40">
        <v>48.493160000000003</v>
      </c>
      <c r="L40">
        <v>160.172</v>
      </c>
      <c r="M40">
        <f t="shared" si="18"/>
        <v>541.60793777777803</v>
      </c>
      <c r="N40">
        <v>267.97497629999998</v>
      </c>
      <c r="O40">
        <v>72.384912</v>
      </c>
      <c r="P40">
        <v>8.1687719999999988</v>
      </c>
      <c r="Q40">
        <f t="shared" si="19"/>
        <v>80.553684000000004</v>
      </c>
      <c r="R40">
        <v>98.838357099999996</v>
      </c>
      <c r="S40">
        <v>54.321434850000003</v>
      </c>
      <c r="T40">
        <v>12.0129</v>
      </c>
      <c r="U40">
        <f t="shared" si="20"/>
        <v>66.334334850000005</v>
      </c>
      <c r="V40">
        <v>161.70000000000002</v>
      </c>
      <c r="W40">
        <v>26.316409999999998</v>
      </c>
      <c r="X40">
        <v>24.0258</v>
      </c>
      <c r="Y40">
        <f t="shared" si="21"/>
        <v>212.04221000000001</v>
      </c>
      <c r="Z40">
        <v>0.50267299999999993</v>
      </c>
      <c r="AA40">
        <v>20.0215</v>
      </c>
      <c r="AB40">
        <f t="shared" si="22"/>
        <v>20.524173000000001</v>
      </c>
    </row>
    <row r="41" spans="2:28" x14ac:dyDescent="0.3">
      <c r="B41">
        <v>22.055</v>
      </c>
      <c r="C41">
        <v>162.31179999999998</v>
      </c>
      <c r="D41">
        <v>13.494</v>
      </c>
      <c r="E41">
        <f t="shared" si="16"/>
        <v>197.86079999999998</v>
      </c>
      <c r="F41">
        <v>28.15</v>
      </c>
      <c r="G41">
        <v>5.348E-2</v>
      </c>
      <c r="H41">
        <v>2.0760000000000001</v>
      </c>
      <c r="I41">
        <f t="shared" si="17"/>
        <v>30.27948</v>
      </c>
      <c r="J41">
        <v>255.32111111111109</v>
      </c>
      <c r="K41">
        <v>8.7707200000000007</v>
      </c>
      <c r="L41">
        <v>6.1520000000000001</v>
      </c>
      <c r="M41">
        <f t="shared" si="18"/>
        <v>270.24383111111109</v>
      </c>
      <c r="N41">
        <v>48.467319600000003</v>
      </c>
      <c r="O41">
        <v>13.091904000000001</v>
      </c>
      <c r="P41">
        <v>0.211752</v>
      </c>
      <c r="Q41">
        <f t="shared" si="19"/>
        <v>13.303656000000002</v>
      </c>
      <c r="R41">
        <v>16.610353199999999</v>
      </c>
      <c r="S41">
        <v>10.282256200000001</v>
      </c>
      <c r="T41">
        <v>0.31139999999999995</v>
      </c>
      <c r="U41">
        <f t="shared" si="20"/>
        <v>10.593656200000002</v>
      </c>
      <c r="V41">
        <v>13.893000000000001</v>
      </c>
      <c r="W41">
        <v>4.7597199999999997</v>
      </c>
      <c r="X41">
        <v>0.62279999999999991</v>
      </c>
      <c r="Y41">
        <f t="shared" si="21"/>
        <v>19.275520000000004</v>
      </c>
      <c r="Z41">
        <v>9.0915999999999997E-2</v>
      </c>
      <c r="AA41">
        <v>0.51900000000000002</v>
      </c>
      <c r="AB41">
        <f t="shared" si="22"/>
        <v>0.60991600000000001</v>
      </c>
    </row>
    <row r="42" spans="2:28" x14ac:dyDescent="0.3">
      <c r="B42">
        <v>20489.828000000001</v>
      </c>
      <c r="C42">
        <v>7031.8461299999999</v>
      </c>
      <c r="D42">
        <v>5733.6850000000004</v>
      </c>
      <c r="E42">
        <f t="shared" si="16"/>
        <v>33255.359129999997</v>
      </c>
      <c r="F42">
        <v>26188.65</v>
      </c>
      <c r="G42">
        <v>2.3169180000000003</v>
      </c>
      <c r="H42">
        <v>891.49</v>
      </c>
      <c r="I42">
        <f t="shared" si="17"/>
        <v>27082.456918000003</v>
      </c>
      <c r="J42">
        <v>7168.0805555555598</v>
      </c>
      <c r="K42">
        <v>379.97455200000013</v>
      </c>
      <c r="L42">
        <v>1842.98</v>
      </c>
      <c r="M42">
        <f t="shared" si="18"/>
        <v>9391.0351075555591</v>
      </c>
      <c r="N42">
        <v>2189.75327586</v>
      </c>
      <c r="O42">
        <v>567.18152640000005</v>
      </c>
      <c r="P42">
        <v>89.91198</v>
      </c>
      <c r="Q42">
        <f t="shared" si="19"/>
        <v>657.09350640000002</v>
      </c>
      <c r="R42">
        <v>719.61156161999975</v>
      </c>
      <c r="S42">
        <v>418.13587267000003</v>
      </c>
      <c r="T42">
        <v>132.2235</v>
      </c>
      <c r="U42">
        <f t="shared" si="20"/>
        <v>550.35937267000008</v>
      </c>
      <c r="V42">
        <v>366.22300000000001</v>
      </c>
      <c r="W42">
        <v>206.20570199999997</v>
      </c>
      <c r="X42">
        <v>264.447</v>
      </c>
      <c r="Y42">
        <f t="shared" si="21"/>
        <v>836.87570199999993</v>
      </c>
      <c r="Z42">
        <v>3.9387606000000002</v>
      </c>
      <c r="AA42">
        <v>220.37250000000003</v>
      </c>
      <c r="AB42">
        <f t="shared" si="22"/>
        <v>224.31126060000003</v>
      </c>
    </row>
    <row r="43" spans="2:28" x14ac:dyDescent="0.3">
      <c r="B43">
        <v>25760.41</v>
      </c>
      <c r="C43">
        <v>2931.4397300000001</v>
      </c>
      <c r="D43">
        <v>106.0735</v>
      </c>
      <c r="E43">
        <f t="shared" si="16"/>
        <v>28797.92323</v>
      </c>
      <c r="F43">
        <v>3455.24166666667</v>
      </c>
      <c r="G43">
        <v>0.96587800000000013</v>
      </c>
      <c r="H43">
        <v>18.318999999999999</v>
      </c>
      <c r="I43">
        <f t="shared" si="17"/>
        <v>3474.5265446666699</v>
      </c>
      <c r="J43">
        <v>2798.09388888889</v>
      </c>
      <c r="K43">
        <v>158.40399200000002</v>
      </c>
      <c r="L43">
        <v>32.637999999999998</v>
      </c>
      <c r="M43">
        <f t="shared" si="18"/>
        <v>2989.1358808888899</v>
      </c>
      <c r="N43">
        <v>905.34625505999998</v>
      </c>
      <c r="O43">
        <v>236.44693440000003</v>
      </c>
      <c r="P43">
        <v>1.6645379999999999</v>
      </c>
      <c r="Q43">
        <f t="shared" si="19"/>
        <v>238.11147240000003</v>
      </c>
      <c r="R43">
        <v>299.99204801999997</v>
      </c>
      <c r="S43">
        <v>167.64261507000001</v>
      </c>
      <c r="T43">
        <v>2.4478499999999999</v>
      </c>
      <c r="U43">
        <f t="shared" si="20"/>
        <v>170.09046506999999</v>
      </c>
      <c r="V43">
        <v>91.333000000000013</v>
      </c>
      <c r="W43">
        <v>85.963142000000005</v>
      </c>
      <c r="X43">
        <v>4.8956999999999997</v>
      </c>
      <c r="Y43">
        <f t="shared" si="21"/>
        <v>182.19184200000004</v>
      </c>
      <c r="Z43">
        <v>1.6419926000000002</v>
      </c>
      <c r="AA43">
        <v>4.0797499999999998</v>
      </c>
      <c r="AB43">
        <f t="shared" si="22"/>
        <v>5.7217425999999998</v>
      </c>
    </row>
    <row r="44" spans="2:28" x14ac:dyDescent="0.3">
      <c r="B44">
        <v>73196</v>
      </c>
      <c r="C44">
        <v>12140.92742</v>
      </c>
      <c r="D44">
        <v>909.74000000000012</v>
      </c>
      <c r="E44">
        <f t="shared" si="16"/>
        <v>86246.667419999998</v>
      </c>
      <c r="F44">
        <v>481.933333333333</v>
      </c>
      <c r="G44">
        <v>3.8026119999999999</v>
      </c>
      <c r="H44">
        <v>139.96</v>
      </c>
      <c r="I44">
        <f t="shared" si="17"/>
        <v>625.69594533333304</v>
      </c>
      <c r="J44">
        <v>3315.5188888888902</v>
      </c>
      <c r="K44">
        <v>653.62836800000002</v>
      </c>
      <c r="L44">
        <v>279.92</v>
      </c>
      <c r="M44">
        <f t="shared" si="18"/>
        <v>4249.0672568888904</v>
      </c>
      <c r="N44">
        <v>3476.1931772399998</v>
      </c>
      <c r="O44">
        <v>930.8794175999999</v>
      </c>
      <c r="P44">
        <v>14.275920000000003</v>
      </c>
      <c r="Q44">
        <f t="shared" si="19"/>
        <v>945.15533759999994</v>
      </c>
      <c r="R44">
        <v>1261.0532610800001</v>
      </c>
      <c r="S44">
        <v>681.00035177999996</v>
      </c>
      <c r="T44">
        <v>20.994</v>
      </c>
      <c r="U44">
        <f t="shared" si="20"/>
        <v>701.99435177999999</v>
      </c>
      <c r="V44">
        <v>64.911000000000001</v>
      </c>
      <c r="W44">
        <v>338.43246800000003</v>
      </c>
      <c r="X44">
        <v>41.988</v>
      </c>
      <c r="Y44">
        <f t="shared" si="21"/>
        <v>445.33146800000003</v>
      </c>
      <c r="Z44">
        <v>6.4644404</v>
      </c>
      <c r="AA44">
        <v>34.99</v>
      </c>
      <c r="AB44">
        <f t="shared" si="22"/>
        <v>41.454440400000003</v>
      </c>
    </row>
    <row r="45" spans="2:28" x14ac:dyDescent="0.3">
      <c r="B45">
        <v>572.06100000000004</v>
      </c>
      <c r="C45">
        <v>4109.9302299999999</v>
      </c>
      <c r="D45">
        <v>157.59900000000002</v>
      </c>
      <c r="E45">
        <f t="shared" si="16"/>
        <v>4839.5902299999998</v>
      </c>
      <c r="F45">
        <v>231.39166666666699</v>
      </c>
      <c r="G45">
        <v>1.3541780000000001</v>
      </c>
      <c r="H45">
        <v>24.246000000000002</v>
      </c>
      <c r="I45">
        <f t="shared" si="17"/>
        <v>256.99184466666696</v>
      </c>
      <c r="J45">
        <v>1652.2011111111101</v>
      </c>
      <c r="K45">
        <v>231.08519200000001</v>
      </c>
      <c r="L45">
        <v>48.492000000000004</v>
      </c>
      <c r="M45">
        <f t="shared" si="18"/>
        <v>1931.7783031111101</v>
      </c>
      <c r="N45">
        <v>1237.2508960600001</v>
      </c>
      <c r="O45">
        <v>331.50277440000002</v>
      </c>
      <c r="P45">
        <v>2.4730920000000003</v>
      </c>
      <c r="Q45">
        <f t="shared" si="19"/>
        <v>333.97586640000003</v>
      </c>
      <c r="R45">
        <v>420.59414501999993</v>
      </c>
      <c r="S45">
        <v>241.03790456999999</v>
      </c>
      <c r="T45">
        <v>3.6368999999999998</v>
      </c>
      <c r="U45">
        <f t="shared" si="20"/>
        <v>244.67480456999999</v>
      </c>
      <c r="V45">
        <v>22.891000000000005</v>
      </c>
      <c r="W45">
        <v>120.52184200000001</v>
      </c>
      <c r="X45">
        <v>7.2737999999999996</v>
      </c>
      <c r="Y45">
        <f t="shared" si="21"/>
        <v>150.68664200000001</v>
      </c>
      <c r="Z45">
        <v>2.3021026</v>
      </c>
      <c r="AA45">
        <v>6.0614999999999997</v>
      </c>
      <c r="AB45">
        <f t="shared" si="22"/>
        <v>8.3636026000000001</v>
      </c>
    </row>
    <row r="46" spans="2:28" x14ac:dyDescent="0.3">
      <c r="B46">
        <v>453.73900000000003</v>
      </c>
      <c r="C46">
        <v>509.24871999999999</v>
      </c>
      <c r="D46">
        <v>3.3605</v>
      </c>
      <c r="E46">
        <f t="shared" si="16"/>
        <v>966.34822000000008</v>
      </c>
      <c r="F46">
        <v>31.216666666666701</v>
      </c>
      <c r="G46">
        <v>0.16779200000000002</v>
      </c>
      <c r="H46">
        <v>0.51700000000000002</v>
      </c>
      <c r="I46">
        <f t="shared" si="17"/>
        <v>31.901458666666699</v>
      </c>
      <c r="J46">
        <v>251.06166666666664</v>
      </c>
      <c r="K46">
        <v>27.517888000000003</v>
      </c>
      <c r="L46">
        <v>1.034</v>
      </c>
      <c r="M46">
        <f t="shared" si="18"/>
        <v>279.61355466666663</v>
      </c>
      <c r="N46">
        <v>152.06485584000004</v>
      </c>
      <c r="O46">
        <v>41.07548160000001</v>
      </c>
      <c r="P46">
        <v>5.2734000000000003E-2</v>
      </c>
      <c r="Q46">
        <f t="shared" si="19"/>
        <v>41.128215600000011</v>
      </c>
      <c r="R46">
        <v>52.114517279999987</v>
      </c>
      <c r="S46">
        <v>32.122818479999999</v>
      </c>
      <c r="T46">
        <v>7.7550000000000008E-2</v>
      </c>
      <c r="U46">
        <f t="shared" si="20"/>
        <v>32.200368480000002</v>
      </c>
      <c r="V46">
        <v>7.4359999999999999</v>
      </c>
      <c r="W46">
        <v>14.933488000000001</v>
      </c>
      <c r="X46">
        <v>0.15509999999999999</v>
      </c>
      <c r="Y46">
        <f t="shared" si="21"/>
        <v>22.524588000000001</v>
      </c>
      <c r="Z46">
        <v>0.28524640000000001</v>
      </c>
      <c r="AA46">
        <v>0.12925</v>
      </c>
      <c r="AB46">
        <f t="shared" si="22"/>
        <v>0.41449639999999999</v>
      </c>
    </row>
    <row r="47" spans="2:28" x14ac:dyDescent="0.3">
      <c r="B47">
        <v>79515</v>
      </c>
      <c r="C47">
        <v>5098.6632099999997</v>
      </c>
      <c r="D47">
        <v>318.18150000000003</v>
      </c>
      <c r="E47">
        <f t="shared" si="16"/>
        <v>84931.844710000005</v>
      </c>
      <c r="F47">
        <v>62.258333333333297</v>
      </c>
      <c r="G47">
        <v>1.6470060000000002</v>
      </c>
      <c r="H47">
        <v>48.951000000000001</v>
      </c>
      <c r="I47">
        <f t="shared" si="17"/>
        <v>112.8563393333333</v>
      </c>
      <c r="J47">
        <v>2638.4144444444401</v>
      </c>
      <c r="K47">
        <v>281.10898400000002</v>
      </c>
      <c r="L47">
        <v>97.902000000000001</v>
      </c>
      <c r="M47">
        <f t="shared" si="18"/>
        <v>3017.4254284444401</v>
      </c>
      <c r="N47">
        <v>23266.932127619999</v>
      </c>
      <c r="O47">
        <v>4641.4070688000002</v>
      </c>
      <c r="P47">
        <v>313.733002</v>
      </c>
      <c r="Q47">
        <f t="shared" si="19"/>
        <v>4955.1400708000001</v>
      </c>
      <c r="R47">
        <v>5448.0435935400001</v>
      </c>
      <c r="S47">
        <v>1034.8625963899999</v>
      </c>
      <c r="T47">
        <v>416.34264999999999</v>
      </c>
      <c r="U47">
        <f t="shared" si="20"/>
        <v>1451.20524639</v>
      </c>
      <c r="V47">
        <v>364.58199999999999</v>
      </c>
      <c r="W47">
        <v>1746.5835340000001</v>
      </c>
      <c r="X47">
        <v>1034.6853000000001</v>
      </c>
      <c r="Y47">
        <f t="shared" si="21"/>
        <v>3145.8508340000003</v>
      </c>
      <c r="Z47">
        <v>81.799910199999999</v>
      </c>
      <c r="AA47">
        <v>1152.23775</v>
      </c>
      <c r="AB47">
        <f t="shared" si="22"/>
        <v>1234.0376602000001</v>
      </c>
    </row>
    <row r="48" spans="2:28" x14ac:dyDescent="0.3">
      <c r="B48">
        <v>506.35563000000008</v>
      </c>
      <c r="C48">
        <v>754.28631891080011</v>
      </c>
      <c r="D48">
        <v>42.847383149999999</v>
      </c>
      <c r="E48">
        <f t="shared" si="16"/>
        <v>1303.4893320608003</v>
      </c>
      <c r="F48">
        <v>6210.2823099999996</v>
      </c>
      <c r="G48">
        <v>0.24852926488000004</v>
      </c>
      <c r="H48">
        <v>6.5919051</v>
      </c>
      <c r="I48">
        <f t="shared" si="17"/>
        <v>6217.1227443648795</v>
      </c>
      <c r="J48">
        <v>34.241466666666703</v>
      </c>
      <c r="K48">
        <v>40.758799440320011</v>
      </c>
      <c r="L48">
        <v>13.1838102</v>
      </c>
      <c r="M48">
        <f t="shared" si="18"/>
        <v>88.184076306986711</v>
      </c>
      <c r="N48">
        <v>225.23461688279761</v>
      </c>
      <c r="O48">
        <v>60.839964042624011</v>
      </c>
      <c r="P48">
        <v>0.67237432019999999</v>
      </c>
      <c r="Q48">
        <f t="shared" si="19"/>
        <v>61.512338362824011</v>
      </c>
      <c r="R48">
        <v>77.190704379079193</v>
      </c>
      <c r="S48">
        <v>49.135981858897203</v>
      </c>
      <c r="T48">
        <v>0.98878576499999993</v>
      </c>
      <c r="U48">
        <f t="shared" si="20"/>
        <v>50.124767623897206</v>
      </c>
      <c r="V48">
        <v>31.405000000000005</v>
      </c>
      <c r="W48">
        <v>22.119104574320001</v>
      </c>
      <c r="X48">
        <v>1.9775715299999999</v>
      </c>
      <c r="Y48">
        <f t="shared" si="21"/>
        <v>55.501676104320005</v>
      </c>
      <c r="Z48">
        <v>0.42249975029600007</v>
      </c>
      <c r="AA48">
        <v>1.647976275</v>
      </c>
      <c r="AB48">
        <f t="shared" si="22"/>
        <v>2.0704760252960002</v>
      </c>
    </row>
    <row r="49" spans="2:28" x14ac:dyDescent="0.3">
      <c r="B49">
        <v>189.36093000000005</v>
      </c>
      <c r="C49">
        <v>1346.2386455492999</v>
      </c>
      <c r="D49">
        <v>86.553881700000005</v>
      </c>
      <c r="E49">
        <f t="shared" si="16"/>
        <v>1622.1534572492999</v>
      </c>
      <c r="F49">
        <v>32188.270058999999</v>
      </c>
      <c r="G49">
        <v>0.43039164598000007</v>
      </c>
      <c r="H49">
        <v>13.315981800000001</v>
      </c>
      <c r="I49">
        <f t="shared" si="17"/>
        <v>32202.016432445977</v>
      </c>
      <c r="J49">
        <v>3962.6284944444501</v>
      </c>
      <c r="K49">
        <v>70.584229940720022</v>
      </c>
      <c r="L49">
        <v>26.631963600000002</v>
      </c>
      <c r="M49">
        <f t="shared" si="18"/>
        <v>4059.8446879851699</v>
      </c>
      <c r="N49">
        <v>390.05103700229466</v>
      </c>
      <c r="O49">
        <v>105.35987493590402</v>
      </c>
      <c r="P49">
        <v>1.3582301436000002</v>
      </c>
      <c r="Q49">
        <f t="shared" si="19"/>
        <v>106.71810507950401</v>
      </c>
      <c r="R49">
        <v>133.67534132492821</v>
      </c>
      <c r="S49">
        <v>81.700926034518702</v>
      </c>
      <c r="T49">
        <v>1.6997397270000001</v>
      </c>
      <c r="U49">
        <f t="shared" si="20"/>
        <v>83.400665761518695</v>
      </c>
      <c r="V49">
        <v>1419.086</v>
      </c>
      <c r="W49">
        <v>58.304856492219997</v>
      </c>
      <c r="X49">
        <v>543.99479454000004</v>
      </c>
      <c r="Y49">
        <f t="shared" si="21"/>
        <v>2021.3856510322203</v>
      </c>
      <c r="Z49">
        <v>46.731665798165999</v>
      </c>
      <c r="AA49">
        <v>462.32899544999998</v>
      </c>
      <c r="AB49">
        <f t="shared" si="22"/>
        <v>509.06066124816596</v>
      </c>
    </row>
    <row r="50" spans="2:28" x14ac:dyDescent="0.3">
      <c r="B50">
        <v>1642.282874</v>
      </c>
      <c r="C50">
        <v>1839.597040742</v>
      </c>
      <c r="D50">
        <v>230.64278379999999</v>
      </c>
      <c r="E50">
        <f t="shared" si="16"/>
        <v>3712.5226985419999</v>
      </c>
      <c r="F50">
        <v>990.82464400000003</v>
      </c>
      <c r="G50">
        <v>0.58965306120000005</v>
      </c>
      <c r="H50">
        <v>35.483505199999996</v>
      </c>
      <c r="I50">
        <f t="shared" si="17"/>
        <v>1026.8978022612</v>
      </c>
      <c r="J50">
        <v>741.35785555555503</v>
      </c>
      <c r="K50">
        <v>96.703102036800018</v>
      </c>
      <c r="L50">
        <v>70.967010399999992</v>
      </c>
      <c r="M50">
        <f t="shared" si="18"/>
        <v>909.02796799235512</v>
      </c>
      <c r="N50">
        <v>534.38487977372404</v>
      </c>
      <c r="O50">
        <v>144.34706938176001</v>
      </c>
      <c r="P50">
        <v>3.6193175303999996</v>
      </c>
      <c r="Q50">
        <f t="shared" si="19"/>
        <v>147.96638691216</v>
      </c>
      <c r="R50">
        <v>183.14034427810799</v>
      </c>
      <c r="S50">
        <v>128.343133567178</v>
      </c>
      <c r="T50">
        <v>5.3225257799999994</v>
      </c>
      <c r="U50">
        <f t="shared" si="20"/>
        <v>133.66565934717801</v>
      </c>
      <c r="V50">
        <v>70.400000000000006</v>
      </c>
      <c r="W50">
        <v>52.479122446800005</v>
      </c>
      <c r="X50">
        <v>10.645051559999999</v>
      </c>
      <c r="Y50">
        <f t="shared" si="21"/>
        <v>133.52417400680002</v>
      </c>
      <c r="Z50">
        <v>1.0024102040400003</v>
      </c>
      <c r="AA50">
        <v>8.870876299999999</v>
      </c>
      <c r="AB50">
        <f t="shared" si="22"/>
        <v>9.8732865040399993</v>
      </c>
    </row>
    <row r="51" spans="2:28" x14ac:dyDescent="0.3">
      <c r="B51">
        <v>2071.5045580000001</v>
      </c>
      <c r="C51">
        <v>4655.1333223997999</v>
      </c>
      <c r="D51">
        <v>470.07221690000006</v>
      </c>
      <c r="E51">
        <f t="shared" si="16"/>
        <v>7196.7100972997996</v>
      </c>
      <c r="F51">
        <v>5456.4202889999997</v>
      </c>
      <c r="G51">
        <v>1.5107523302800001</v>
      </c>
      <c r="H51">
        <v>72.318802600000012</v>
      </c>
      <c r="I51">
        <f t="shared" si="17"/>
        <v>5530.2498439302799</v>
      </c>
      <c r="J51">
        <v>735.34057777777798</v>
      </c>
      <c r="K51">
        <v>247.76338216592004</v>
      </c>
      <c r="L51">
        <v>144.63760520000002</v>
      </c>
      <c r="M51">
        <f t="shared" si="18"/>
        <v>1127.7415651436979</v>
      </c>
      <c r="N51">
        <v>1369.1495143628556</v>
      </c>
      <c r="O51">
        <v>369.83217045254401</v>
      </c>
      <c r="P51">
        <v>7.3765178652000003</v>
      </c>
      <c r="Q51">
        <f t="shared" si="19"/>
        <v>377.20868831774402</v>
      </c>
      <c r="R51">
        <v>486.22456626166502</v>
      </c>
      <c r="S51">
        <v>273.21372820504803</v>
      </c>
      <c r="T51">
        <v>10.847820390000001</v>
      </c>
      <c r="U51">
        <f t="shared" si="20"/>
        <v>284.06154859504801</v>
      </c>
      <c r="V51">
        <v>270.05</v>
      </c>
      <c r="W51">
        <v>134.45695739492001</v>
      </c>
      <c r="X51">
        <v>21.695640780000002</v>
      </c>
      <c r="Y51">
        <f t="shared" si="21"/>
        <v>426.20259817492007</v>
      </c>
      <c r="Z51">
        <v>2.5682789614760004</v>
      </c>
      <c r="AA51">
        <v>18.079700650000003</v>
      </c>
      <c r="AB51">
        <f t="shared" si="22"/>
        <v>20.647979611476003</v>
      </c>
    </row>
    <row r="52" spans="2:28" x14ac:dyDescent="0.3">
      <c r="B52">
        <v>5333.4895159999996</v>
      </c>
      <c r="C52">
        <v>8245.8113530514001</v>
      </c>
      <c r="D52">
        <v>3133.0090077000004</v>
      </c>
      <c r="E52">
        <f t="shared" si="16"/>
        <v>16712.309876751402</v>
      </c>
      <c r="F52">
        <v>13324.853703000001</v>
      </c>
      <c r="G52">
        <v>2.6905473980400005</v>
      </c>
      <c r="H52">
        <v>486.00138579999998</v>
      </c>
      <c r="I52">
        <f t="shared" si="17"/>
        <v>13813.545636198041</v>
      </c>
      <c r="J52">
        <v>6938.7390333333296</v>
      </c>
      <c r="K52">
        <v>454.24977327855999</v>
      </c>
      <c r="L52">
        <v>1004.0027716</v>
      </c>
      <c r="M52">
        <f t="shared" si="18"/>
        <v>8396.9915782118896</v>
      </c>
      <c r="N52">
        <v>2488.3623904217102</v>
      </c>
      <c r="O52">
        <v>658.64600304019211</v>
      </c>
      <c r="P52">
        <v>49.164141351600001</v>
      </c>
      <c r="Q52">
        <f t="shared" si="19"/>
        <v>707.81014439179216</v>
      </c>
      <c r="R52">
        <v>885.65711635724404</v>
      </c>
      <c r="S52">
        <v>473.984859140813</v>
      </c>
      <c r="T52">
        <v>72.300207869999994</v>
      </c>
      <c r="U52">
        <f t="shared" si="20"/>
        <v>546.28506701081301</v>
      </c>
      <c r="V52">
        <v>2626.404</v>
      </c>
      <c r="W52">
        <v>239.45871842556002</v>
      </c>
      <c r="X52">
        <v>144.60041573999999</v>
      </c>
      <c r="Y52">
        <f t="shared" si="21"/>
        <v>3010.4631341655599</v>
      </c>
      <c r="Z52">
        <v>4.5739305766680003</v>
      </c>
      <c r="AA52">
        <v>120.50034645000001</v>
      </c>
      <c r="AB52">
        <f t="shared" si="22"/>
        <v>125.07427702666801</v>
      </c>
    </row>
    <row r="53" spans="2:28" x14ac:dyDescent="0.3">
      <c r="B53">
        <f>SUM(B36:B52)</f>
        <v>216368.69434799999</v>
      </c>
      <c r="C53">
        <f>SUM(C36:C52)</f>
        <v>55360.215061834686</v>
      </c>
      <c r="D53">
        <f>SUM(D36:D52)</f>
        <v>13106.382315100002</v>
      </c>
      <c r="E53">
        <f t="shared" si="16"/>
        <v>284835.29172493465</v>
      </c>
      <c r="F53">
        <f>SUM(F36:F52)</f>
        <v>92927.204989000005</v>
      </c>
      <c r="G53">
        <f>SUM(G36:G52)</f>
        <v>17.924288323504015</v>
      </c>
      <c r="H53">
        <f>SUM(H36:H52)</f>
        <v>2041.7511254000003</v>
      </c>
      <c r="I53">
        <f t="shared" si="17"/>
        <v>94986.880402723502</v>
      </c>
      <c r="J53">
        <f>SUM(J36:J52)</f>
        <v>34300.050927777775</v>
      </c>
      <c r="K53">
        <f>SUM(K36:K52)</f>
        <v>3002.5832850546585</v>
      </c>
      <c r="L53">
        <f>SUM(L36:L52)</f>
        <v>4153.5022508000002</v>
      </c>
      <c r="M53">
        <f t="shared" si="18"/>
        <v>41456.136463632429</v>
      </c>
      <c r="N53">
        <f>SUM(N36:N52)</f>
        <v>38258.2939425285</v>
      </c>
      <c r="O53">
        <f>SUM(O36:O52)</f>
        <v>8626.0857815937834</v>
      </c>
      <c r="P53">
        <f>SUM(P36:P52)</f>
        <v>514.3466147908</v>
      </c>
      <c r="Q53">
        <f t="shared" si="19"/>
        <v>9140.4323963845836</v>
      </c>
      <c r="R53">
        <f>SUM(R36:R52)</f>
        <v>10681.60471039711</v>
      </c>
      <c r="S53">
        <f>SUM(S36:S52)</f>
        <v>4012.0291028689735</v>
      </c>
      <c r="T53">
        <f>SUM(T36:T52)</f>
        <v>711.06501126699993</v>
      </c>
      <c r="U53">
        <f t="shared" si="20"/>
        <v>4723.0941141359735</v>
      </c>
      <c r="V53">
        <f>SUM(V36:V52)</f>
        <v>6593.7810000000009</v>
      </c>
      <c r="W53">
        <f>SUM(W36:W52)</f>
        <v>3215.2616607918576</v>
      </c>
      <c r="X53">
        <f>SUM(X36:X52)</f>
        <v>2164.7253376200001</v>
      </c>
      <c r="Y53">
        <f t="shared" si="21"/>
        <v>11973.767998411859</v>
      </c>
      <c r="Z53">
        <f>SUM(Z36:Z52)</f>
        <v>155.47129014995681</v>
      </c>
      <c r="AA53">
        <f>SUM(AA36:AA52)</f>
        <v>2102.93778135</v>
      </c>
      <c r="AB53">
        <f t="shared" si="22"/>
        <v>2258.409071499957</v>
      </c>
    </row>
    <row r="57" spans="2:28" x14ac:dyDescent="0.3">
      <c r="K57">
        <f>C36+G36+K36+N36+O36+R36+S36+W36+Z36</f>
        <v>1785.5584079578405</v>
      </c>
      <c r="L57">
        <f>D36+H36+L36+P36+T36+X36+AA36</f>
        <v>3.9306755598000001</v>
      </c>
    </row>
    <row r="58" spans="2:28" x14ac:dyDescent="0.3">
      <c r="K58">
        <f t="shared" ref="K58:K70" si="23">C37+G37+K37+N37+O37+R37+S37+W37+Z37</f>
        <v>3249.4911107908219</v>
      </c>
      <c r="L58">
        <f t="shared" ref="L58:L74" si="24">D37+H37+L37+P37+T37+X37+AA37</f>
        <v>210.23291399999999</v>
      </c>
    </row>
    <row r="59" spans="2:28" x14ac:dyDescent="0.3">
      <c r="K59">
        <f t="shared" si="23"/>
        <v>1718.2864954000001</v>
      </c>
      <c r="L59">
        <f t="shared" si="24"/>
        <v>830.23818000000017</v>
      </c>
    </row>
    <row r="60" spans="2:28" x14ac:dyDescent="0.3">
      <c r="K60">
        <f t="shared" si="23"/>
        <v>2462.6137644</v>
      </c>
      <c r="L60">
        <f t="shared" si="24"/>
        <v>1150.6868319999999</v>
      </c>
    </row>
    <row r="61" spans="2:28" x14ac:dyDescent="0.3">
      <c r="K61">
        <f t="shared" si="23"/>
        <v>1486.5467632499999</v>
      </c>
      <c r="L61">
        <f t="shared" si="24"/>
        <v>828.04597200000001</v>
      </c>
    </row>
    <row r="62" spans="2:28" x14ac:dyDescent="0.3">
      <c r="K62">
        <f t="shared" si="23"/>
        <v>264.438469</v>
      </c>
      <c r="L62">
        <f t="shared" si="24"/>
        <v>23.386952000000001</v>
      </c>
    </row>
    <row r="63" spans="2:28" x14ac:dyDescent="0.3">
      <c r="K63">
        <f t="shared" si="23"/>
        <v>11518.96429915</v>
      </c>
      <c r="L63">
        <f t="shared" si="24"/>
        <v>9175.1099800000011</v>
      </c>
    </row>
    <row r="64" spans="2:28" x14ac:dyDescent="0.3">
      <c r="K64">
        <f t="shared" si="23"/>
        <v>4787.8425871499994</v>
      </c>
      <c r="L64">
        <f t="shared" si="24"/>
        <v>170.11833799999997</v>
      </c>
    </row>
    <row r="65" spans="11:12" x14ac:dyDescent="0.3">
      <c r="K65">
        <f t="shared" si="23"/>
        <v>19492.381516099998</v>
      </c>
      <c r="L65">
        <f t="shared" si="24"/>
        <v>1441.8679200000001</v>
      </c>
    </row>
    <row r="66" spans="11:12" x14ac:dyDescent="0.3">
      <c r="K66">
        <f t="shared" si="23"/>
        <v>6695.5792646499995</v>
      </c>
      <c r="L66">
        <f t="shared" si="24"/>
        <v>249.78229200000004</v>
      </c>
    </row>
    <row r="67" spans="11:12" x14ac:dyDescent="0.3">
      <c r="K67">
        <f t="shared" si="23"/>
        <v>829.5308076</v>
      </c>
      <c r="L67">
        <f t="shared" si="24"/>
        <v>5.3261339999999997</v>
      </c>
    </row>
    <row r="68" spans="11:12" x14ac:dyDescent="0.3">
      <c r="K68">
        <f t="shared" si="23"/>
        <v>41601.048030550002</v>
      </c>
      <c r="L68">
        <f t="shared" si="24"/>
        <v>3382.0332020000005</v>
      </c>
    </row>
    <row r="69" spans="11:12" x14ac:dyDescent="0.3">
      <c r="K69">
        <f t="shared" si="23"/>
        <v>1230.2365191040142</v>
      </c>
      <c r="L69">
        <f t="shared" si="24"/>
        <v>67.909806340200007</v>
      </c>
    </row>
    <row r="70" spans="11:12" x14ac:dyDescent="0.3">
      <c r="K70">
        <f t="shared" si="23"/>
        <v>2233.0769687240313</v>
      </c>
      <c r="L70">
        <f t="shared" si="24"/>
        <v>1135.8835869606</v>
      </c>
    </row>
    <row r="71" spans="11:12" x14ac:dyDescent="0.3">
      <c r="K71">
        <f>C50+G50+K50+N50+O50+R50+S50+W50+Z50</f>
        <v>2980.5867554916099</v>
      </c>
      <c r="L71">
        <f t="shared" si="24"/>
        <v>365.55107057039999</v>
      </c>
    </row>
    <row r="72" spans="11:12" x14ac:dyDescent="0.3">
      <c r="K72">
        <f>C51+G51+K51+N51+O51+R51+S51+W51+Z51</f>
        <v>7539.8526725345091</v>
      </c>
      <c r="L72">
        <f t="shared" si="24"/>
        <v>745.02830438520004</v>
      </c>
    </row>
    <row r="73" spans="11:12" x14ac:dyDescent="0.3">
      <c r="K73">
        <f>C52+G52+K52+N52+O52+R52+S52+W52+Z52</f>
        <v>13453.434691690189</v>
      </c>
      <c r="L73">
        <f t="shared" si="24"/>
        <v>5009.578276511601</v>
      </c>
    </row>
    <row r="74" spans="11:12" x14ac:dyDescent="0.3">
      <c r="K74">
        <f>C53+G53+K53+N53+O53+R53+S53+W53+Z53</f>
        <v>123329.46912354302</v>
      </c>
      <c r="L74">
        <f t="shared" si="24"/>
        <v>24794.710436327801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Sheet2</vt:lpstr>
      <vt:lpstr>Sheet1</vt:lpstr>
      <vt:lpstr>Sheet4</vt:lpstr>
      <vt:lpstr>Sheet3</vt:lpstr>
      <vt:lpstr>Sheet5</vt:lpstr>
      <vt:lpstr>电力</vt:lpstr>
      <vt:lpstr>热力</vt:lpstr>
      <vt:lpstr>过渡表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Yucheng Zhu</dc:creator>
  <cp:lastModifiedBy>Yucheng Zhu</cp:lastModifiedBy>
  <dcterms:created xsi:type="dcterms:W3CDTF">2015-06-05T18:19:34Z</dcterms:created>
  <dcterms:modified xsi:type="dcterms:W3CDTF">2024-12-16T03:20:15Z</dcterms:modified>
</cp:coreProperties>
</file>