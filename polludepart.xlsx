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桌面文件\BIT_管理科学与工程_博士\论文3\数据\参数相关\"/>
    </mc:Choice>
  </mc:AlternateContent>
  <xr:revisionPtr revIDLastSave="0" documentId="13_ncr:1_{DD6279D5-AA7C-461E-8D1E-F8D6C522F65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  <sheet name="Sheet2" sheetId="2" r:id="rId2"/>
    <sheet name="比例分配表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3" l="1"/>
  <c r="F98" i="3"/>
  <c r="H93" i="3"/>
  <c r="D114" i="3"/>
  <c r="D111" i="3"/>
  <c r="D93" i="3"/>
  <c r="D83" i="3"/>
  <c r="D79" i="3"/>
  <c r="D75" i="3"/>
  <c r="D59" i="3"/>
  <c r="D55" i="3"/>
  <c r="D49" i="3"/>
  <c r="D37" i="3"/>
  <c r="D34" i="3"/>
  <c r="D30" i="3"/>
  <c r="D14" i="3"/>
  <c r="D7" i="3"/>
  <c r="B79" i="3"/>
  <c r="B75" i="3"/>
  <c r="B83" i="3"/>
  <c r="B114" i="3"/>
  <c r="B111" i="3"/>
  <c r="B93" i="3"/>
  <c r="B59" i="3"/>
  <c r="B55" i="3"/>
  <c r="B49" i="3"/>
  <c r="B37" i="3"/>
  <c r="B34" i="3"/>
  <c r="B30" i="3"/>
  <c r="B23" i="3"/>
  <c r="B14" i="3"/>
  <c r="B7" i="3"/>
  <c r="D38" i="2"/>
  <c r="E38" i="2"/>
  <c r="C38" i="2"/>
  <c r="C33" i="2"/>
  <c r="C24" i="2"/>
  <c r="C20" i="2"/>
  <c r="C16" i="2"/>
  <c r="D54" i="2"/>
  <c r="E54" i="2"/>
  <c r="C54" i="2"/>
  <c r="D50" i="2"/>
  <c r="E50" i="2"/>
  <c r="C50" i="2"/>
  <c r="D46" i="2"/>
  <c r="E46" i="2"/>
  <c r="C46" i="2"/>
  <c r="D33" i="2"/>
  <c r="E33" i="2"/>
  <c r="D27" i="2"/>
  <c r="E27" i="2"/>
  <c r="C27" i="2"/>
  <c r="D24" i="2"/>
  <c r="E24" i="2"/>
  <c r="D20" i="2"/>
  <c r="E20" i="2"/>
  <c r="C11" i="2"/>
  <c r="D16" i="2"/>
  <c r="E16" i="2"/>
  <c r="D11" i="2"/>
  <c r="E11" i="2"/>
</calcChain>
</file>

<file path=xl/sharedStrings.xml><?xml version="1.0" encoding="utf-8"?>
<sst xmlns="http://schemas.openxmlformats.org/spreadsheetml/2006/main" count="213" uniqueCount="209">
  <si>
    <t>农林牧渔</t>
  </si>
  <si>
    <t>采矿</t>
  </si>
  <si>
    <t>食品、饮料、烟草生产</t>
  </si>
  <si>
    <t>纺织与皮革制品</t>
  </si>
  <si>
    <t>木材加工</t>
  </si>
  <si>
    <t>文教、工美、体育用品生产</t>
  </si>
  <si>
    <t>石油、化学、医药制造与加工</t>
  </si>
  <si>
    <t>非金属矿物制品</t>
  </si>
  <si>
    <t>金属冶炼及加工</t>
  </si>
  <si>
    <t>设备、仪器、仪表制造</t>
  </si>
  <si>
    <t>其他制造业</t>
  </si>
  <si>
    <t>电力、热力、燃气、水的供应</t>
  </si>
  <si>
    <t>建筑</t>
  </si>
  <si>
    <t>交通运输、仓储与邮政</t>
  </si>
  <si>
    <t>批发、零售、住宿、餐饮</t>
  </si>
  <si>
    <t>其他服务业</t>
  </si>
  <si>
    <t>居民生活</t>
  </si>
  <si>
    <t>二氧化硫</t>
    <phoneticPr fontId="1" type="noConversion"/>
  </si>
  <si>
    <t>氮氧化物</t>
    <phoneticPr fontId="1" type="noConversion"/>
  </si>
  <si>
    <t>颗粒物</t>
    <phoneticPr fontId="1" type="noConversion"/>
  </si>
  <si>
    <t>行业总计</t>
  </si>
  <si>
    <t>Total</t>
  </si>
  <si>
    <t>农、林、牧、渔专业及辅助
性活动</t>
  </si>
  <si>
    <t>Professional and Support Activities for Agriculture,
Forestry,Animal Husbandry and Fishery</t>
  </si>
  <si>
    <t>煤炭开采和洗选业</t>
  </si>
  <si>
    <t>Mining and Washing of Coal</t>
  </si>
  <si>
    <t>石油和天然气开采业</t>
  </si>
  <si>
    <t>Extraction of Petroleum and Natural Gas</t>
  </si>
  <si>
    <t>黑色金属矿采选业</t>
  </si>
  <si>
    <t>Mining and Processing of Ferrous Metal Ores</t>
  </si>
  <si>
    <t>有色金属矿采选业</t>
  </si>
  <si>
    <t>Mining and Processing of Non-ferrous Metal Ores</t>
  </si>
  <si>
    <t>非金属矿采选业</t>
  </si>
  <si>
    <t>Mining and Processing of Non-metal Ores</t>
  </si>
  <si>
    <t>开采专业及辅助性活动</t>
  </si>
  <si>
    <t>Professional and Support Activities for Mining</t>
  </si>
  <si>
    <t>其他采矿业</t>
  </si>
  <si>
    <t>Mining of Other Ores</t>
  </si>
  <si>
    <t>农副食品加工业</t>
  </si>
  <si>
    <t>Processing of Food from Agricultural Products</t>
  </si>
  <si>
    <t>食品制造业</t>
  </si>
  <si>
    <t>Manufacture of Foods</t>
  </si>
  <si>
    <t>酒、饮料和精制茶制造业</t>
  </si>
  <si>
    <t>Manufacture of Liquor,Beverages and Refined Tea</t>
  </si>
  <si>
    <t>烟草制品业</t>
  </si>
  <si>
    <t>Manufacture of Tobacco</t>
  </si>
  <si>
    <t>纺织业</t>
  </si>
  <si>
    <t>Manufacture of Textile</t>
  </si>
  <si>
    <t>纺织服装、服饰业</t>
  </si>
  <si>
    <t>Manufacture of Textile,Wearing Apparel and Accessories</t>
  </si>
  <si>
    <t>皮革、毛皮、羽毛及其
制品和制鞋业</t>
  </si>
  <si>
    <t>Manufacture of Leather,Fur,Feather and Related
Products and Footware</t>
  </si>
  <si>
    <t>木材加工和木、竹、藤、
棕、草制品业</t>
  </si>
  <si>
    <t>Processing of Timber,Manufacture of Wood,
Bamboo,Rattan,Palm and Straw Products</t>
  </si>
  <si>
    <t>家具制造业</t>
  </si>
  <si>
    <t>Manufacture of Furniture</t>
  </si>
  <si>
    <t>造纸及纸制品业</t>
  </si>
  <si>
    <t>Manufacture of Paper and Paper Products</t>
  </si>
  <si>
    <t>印刷和记录媒介复制业</t>
  </si>
  <si>
    <t>Printing and Reproduction of Recording Media</t>
  </si>
  <si>
    <t>文教、工美、体育
和娱乐用品制造业</t>
  </si>
  <si>
    <t>Manufacture of Articles for Culture,Education,Arts
and Crafts,Sport and Entertainment Activities</t>
  </si>
  <si>
    <t>石油、煤炭及其他燃料加工业</t>
  </si>
  <si>
    <t>Processing of Petroleum,Coal and Other Fuels</t>
  </si>
  <si>
    <t>行 业</t>
  </si>
  <si>
    <t>Sector</t>
  </si>
  <si>
    <t>工业二氧化
硫排放量
Industrial
Sulphur
Dioxide
Emission</t>
  </si>
  <si>
    <t>工业氮氧化
物排放量
Industrial
Nitrogen
Oxides
Emission</t>
  </si>
  <si>
    <t>工业颗粒
物排放量
Industrial
Particulate
Matter
Emission</t>
  </si>
  <si>
    <t>化学原料和化学制品制造业</t>
  </si>
  <si>
    <t>Manufacture of Raw Chemical Materials and
Chemical Products</t>
  </si>
  <si>
    <t>医药制造业</t>
  </si>
  <si>
    <t>Manufacture of Medicines</t>
  </si>
  <si>
    <t>化学纤维制造业</t>
  </si>
  <si>
    <t>Manufacture of Chemical Fibers</t>
  </si>
  <si>
    <t>橡胶和塑料制品业</t>
  </si>
  <si>
    <t>Manufacture of Rubber and Plastics Products</t>
  </si>
  <si>
    <t>非金属矿物制品业</t>
  </si>
  <si>
    <t>Manufacture of Non-metallic Mineral Products</t>
  </si>
  <si>
    <t>黑色金属冶炼和压延加工业</t>
  </si>
  <si>
    <t>Smelting and Pressing of Ferrous Metals</t>
  </si>
  <si>
    <t>有色金属冶炼和压延加工业</t>
  </si>
  <si>
    <t>Smelting and Pressing of Non-ferrous Metals</t>
  </si>
  <si>
    <t>金属制品业</t>
  </si>
  <si>
    <t>Manufacture of Metal Products</t>
  </si>
  <si>
    <t>通用设备制造业</t>
  </si>
  <si>
    <t>Manufacture of General Purpose Machinery</t>
  </si>
  <si>
    <t>专用设备制造业</t>
  </si>
  <si>
    <t>Manufacture of Special Purpose Machinery</t>
  </si>
  <si>
    <t>汽车制造业</t>
  </si>
  <si>
    <t>Manufacture of Automobiles</t>
  </si>
  <si>
    <t>铁路、船舶、航空航天和
其他运输设备制造业</t>
  </si>
  <si>
    <t>Manufacture of Railway,Ship,Aerospace and Other
Transport Equipments</t>
  </si>
  <si>
    <t>电气机械和器材制造业</t>
  </si>
  <si>
    <t>Manufacture of Electrical Machinery and Apparatus</t>
  </si>
  <si>
    <t>计算机、通信和其他
电子设备制造业</t>
  </si>
  <si>
    <t>Manufacture of Computers,Communication and
Other Electronic Equipment</t>
  </si>
  <si>
    <t>仪器仪表制造业</t>
  </si>
  <si>
    <t>Manufacture of Measuring Instruments and Machinery</t>
  </si>
  <si>
    <t>Other Manufacture</t>
  </si>
  <si>
    <t>废弃资源综合利用业</t>
  </si>
  <si>
    <t>Utilization of Waste Resources</t>
  </si>
  <si>
    <t>金属制品、机械和设备修理业</t>
  </si>
  <si>
    <t>Repair Service of Metal Products,Machinery and
Equipment</t>
  </si>
  <si>
    <t>电力、热力生产和供应业</t>
  </si>
  <si>
    <t>Production and Supply of Electric Power and
Heat Power</t>
  </si>
  <si>
    <t>燃气生产和供应业</t>
  </si>
  <si>
    <t>Production and Supply of Gas</t>
  </si>
  <si>
    <t>水的生产和供应业</t>
  </si>
  <si>
    <t>Production and Supply of Water</t>
  </si>
  <si>
    <t>单位：ton</t>
    <phoneticPr fontId="1" type="noConversion"/>
  </si>
  <si>
    <t>单位（万吨）</t>
    <phoneticPr fontId="1" type="noConversion"/>
  </si>
  <si>
    <t>农作物种植</t>
  </si>
  <si>
    <t>林业</t>
  </si>
  <si>
    <t>畜牧业及畜产品</t>
  </si>
  <si>
    <t>渔业</t>
  </si>
  <si>
    <t>农业技术服务</t>
  </si>
  <si>
    <t>煤炭开采和加工</t>
  </si>
  <si>
    <t>原油和天然气</t>
  </si>
  <si>
    <t>黑色金属矿业</t>
  </si>
  <si>
    <t>有色金属矿业</t>
  </si>
  <si>
    <t>非金属矿业</t>
  </si>
  <si>
    <t>辅助采矿服务和其他矿业</t>
  </si>
  <si>
    <t>粮食加工、植物油及饲料生产</t>
  </si>
  <si>
    <t>糖类精炼</t>
  </si>
  <si>
    <t>屠宰及肉类加工</t>
  </si>
  <si>
    <t>鱼类及海鲜制备</t>
  </si>
  <si>
    <t>其他食品加工和生产</t>
  </si>
  <si>
    <t>酒、烈酒和烈性饮料</t>
  </si>
  <si>
    <t>无酒精饮料</t>
  </si>
  <si>
    <t>烟草制品</t>
  </si>
  <si>
    <t>棉纺织</t>
  </si>
  <si>
    <t>羊毛纺织</t>
  </si>
  <si>
    <t>麻纺织</t>
  </si>
  <si>
    <t>针织厂</t>
  </si>
  <si>
    <t>服装</t>
  </si>
  <si>
    <t>皮革、毛皮、羽绒及相关产品</t>
  </si>
  <si>
    <t>锯木厂、纤维板、木材、竹、藤、棕、草等制品</t>
  </si>
  <si>
    <t>家具</t>
  </si>
  <si>
    <t>纸及纸制品</t>
  </si>
  <si>
    <t>印刷及记录介质复制</t>
  </si>
  <si>
    <t>文化教育、艺术、体育和娱乐产品</t>
  </si>
  <si>
    <t>石油炼制和核燃料</t>
  </si>
  <si>
    <t>炼焦</t>
  </si>
  <si>
    <t>原化学材料</t>
  </si>
  <si>
    <t>化肥</t>
  </si>
  <si>
    <t>农药</t>
  </si>
  <si>
    <t>日用化学品</t>
  </si>
  <si>
    <t>其他化学产品</t>
  </si>
  <si>
    <t>医药及药品</t>
  </si>
  <si>
    <t>化学纤维</t>
  </si>
  <si>
    <t>橡胶制品</t>
  </si>
  <si>
    <t>塑料制品</t>
  </si>
  <si>
    <t>水泥、石灰、石膏及其他建筑材料</t>
  </si>
  <si>
    <t>玻璃及玻璃制品</t>
  </si>
  <si>
    <t>陶瓷制品</t>
  </si>
  <si>
    <t>防火产品</t>
  </si>
  <si>
    <t>其他非金属矿产品</t>
  </si>
  <si>
    <t>黑色金属冶炼及加工</t>
  </si>
  <si>
    <t>有色金属冶炼及加工</t>
  </si>
  <si>
    <t>金属制品</t>
  </si>
  <si>
    <t>锅炉、发动机和涡轮机</t>
  </si>
  <si>
    <t>金属加工机械及其他通用机械</t>
  </si>
  <si>
    <t>农林牧渔机械</t>
  </si>
  <si>
    <t>其他特殊设备</t>
  </si>
  <si>
    <t>铁路运输设备</t>
  </si>
  <si>
    <t>汽车</t>
  </si>
  <si>
    <t>造船</t>
  </si>
  <si>
    <t>其他运输机械</t>
  </si>
  <si>
    <t>发电机</t>
  </si>
  <si>
    <t>家用电器</t>
  </si>
  <si>
    <t>其他电器机械设备</t>
  </si>
  <si>
    <t>电子计算机</t>
  </si>
  <si>
    <t>电子电器及元件</t>
  </si>
  <si>
    <t>其他电子及通信设备</t>
  </si>
  <si>
    <t>仪器、仪表及其他测量设备</t>
  </si>
  <si>
    <t>其他制造产品</t>
  </si>
  <si>
    <t>废料及废品回收</t>
  </si>
  <si>
    <t>金属制品、机械设备修理</t>
  </si>
  <si>
    <t>电力及热力生产与供应</t>
  </si>
  <si>
    <t>燃气生产与供应</t>
  </si>
  <si>
    <t>水生产与供应</t>
  </si>
  <si>
    <t>铁路运输</t>
  </si>
  <si>
    <t>公路运输</t>
  </si>
  <si>
    <t>水路运输</t>
  </si>
  <si>
    <t>航空运输及其他运输</t>
  </si>
  <si>
    <t>管道运输</t>
  </si>
  <si>
    <t>多式联运及运输代理</t>
  </si>
  <si>
    <t>搬运和仓储</t>
  </si>
  <si>
    <t>邮政和电信</t>
  </si>
  <si>
    <t>信息传输、软件和信息技术服务</t>
  </si>
  <si>
    <t>酒店、饮食场所</t>
  </si>
  <si>
    <t>金融</t>
  </si>
  <si>
    <t>保险</t>
  </si>
  <si>
    <t>房地产</t>
  </si>
  <si>
    <t>批发零售贸易和商业服务</t>
  </si>
  <si>
    <t>科研与实验</t>
  </si>
  <si>
    <t>科学与技术服务</t>
  </si>
  <si>
    <t>地质勘查、水利、环保及公共基础设施管理</t>
  </si>
  <si>
    <t>生活服务及其他社会服务</t>
  </si>
  <si>
    <t>教育服务</t>
  </si>
  <si>
    <t>医疗服务</t>
  </si>
  <si>
    <t>社会保障及福利</t>
  </si>
  <si>
    <t>文化、艺术、广播、电视、电影及音像</t>
  </si>
  <si>
    <t>体育</t>
  </si>
  <si>
    <t>公共管理及社会组织</t>
  </si>
  <si>
    <t>其他服务</t>
  </si>
  <si>
    <t>农村家庭消费</t>
  </si>
  <si>
    <t>城市家庭消费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</si>
</sst>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00000_ 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>
      <alignment vertical="center"/>
    </xf>
    <xf numFmtId="0" fontId="6" fillId="0" borderId="0"/>
    <xf numFmtId="0" fontId="6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7" fillId="0" borderId="3" xfId="1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7" fillId="0" borderId="3" xfId="1" applyFont="1" applyBorder="1" applyAlignment="1">
      <alignment horizontal="left" vertical="top"/>
    </xf>
    <xf numFmtId="0" fontId="9" fillId="0" borderId="3" xfId="1" applyFont="1" applyBorder="1" applyAlignment="1">
      <alignment horizontal="left" vertical="top" wrapText="1"/>
    </xf>
    <xf numFmtId="0" fontId="8" fillId="0" borderId="3" xfId="3" applyFont="1" applyBorder="1" applyAlignment="1">
      <alignment horizontal="left" vertical="top"/>
    </xf>
    <xf numFmtId="0" fontId="10" fillId="0" borderId="3" xfId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3" xfId="2" applyFont="1" applyBorder="1" applyAlignment="1">
      <alignment horizontal="left" vertical="top"/>
    </xf>
    <xf numFmtId="176" fontId="11" fillId="0" borderId="0" xfId="0" applyNumberFormat="1" applyFont="1"/>
    <xf numFmtId="176" fontId="12" fillId="0" borderId="0" xfId="0" applyNumberFormat="1" applyFont="1"/>
    <xf numFmtId="177" fontId="0" fillId="0" borderId="0" xfId="0" applyNumberFormat="1"/>
  </cellXfs>
  <cellStyles count="4">
    <cellStyle name="常规" xfId="0" builtinId="0"/>
    <cellStyle name="常规 2 2" xfId="2" xr:uid="{88A23DAC-4C74-4BB5-9BB8-861D6217DEB7}"/>
    <cellStyle name="常规 3" xfId="1" xr:uid="{DEF98071-5C86-4BDF-9956-2BEE43AB92E4}"/>
    <cellStyle name="常规 3 2" xfId="3" xr:uid="{3B27D6E3-1DDA-438C-9196-119E5C94FF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A19" sqref="A19:XFD19"/>
    </sheetView>
  </sheetViews>
  <sheetFormatPr defaultRowHeight="14" x14ac:dyDescent="0.3"/>
  <cols>
    <col min="1" max="1" width="27.58203125" bestFit="1" customWidth="1"/>
    <col min="6" max="6" width="11.83203125" customWidth="1"/>
    <col min="8" max="8" width="11.08203125" customWidth="1"/>
    <col min="9" max="9" width="13.33203125" customWidth="1"/>
    <col min="10" max="10" width="14.4140625" customWidth="1"/>
    <col min="11" max="11" width="13" bestFit="1" customWidth="1"/>
  </cols>
  <sheetData>
    <row r="1" spans="1:11" x14ac:dyDescent="0.3">
      <c r="A1" t="s">
        <v>111</v>
      </c>
      <c r="B1" t="s">
        <v>17</v>
      </c>
      <c r="C1" t="s">
        <v>18</v>
      </c>
      <c r="D1" t="s">
        <v>19</v>
      </c>
    </row>
    <row r="2" spans="1:11" x14ac:dyDescent="0.3">
      <c r="A2" t="s">
        <v>0</v>
      </c>
      <c r="B2">
        <v>0.35</v>
      </c>
      <c r="C2">
        <v>1.2149000000000001</v>
      </c>
      <c r="D2">
        <v>9.5200000000000007E-2</v>
      </c>
      <c r="F2" s="17"/>
      <c r="I2" s="18"/>
      <c r="J2" s="18"/>
      <c r="K2" s="18"/>
    </row>
    <row r="3" spans="1:11" x14ac:dyDescent="0.3">
      <c r="A3" t="s">
        <v>1</v>
      </c>
      <c r="B3">
        <v>4.0945</v>
      </c>
      <c r="C3">
        <v>6.3985000000000003</v>
      </c>
      <c r="D3">
        <v>87.331999999999994</v>
      </c>
      <c r="F3" s="16"/>
      <c r="H3" s="16"/>
      <c r="I3" s="18"/>
      <c r="J3" s="18"/>
      <c r="K3" s="18"/>
    </row>
    <row r="4" spans="1:11" x14ac:dyDescent="0.3">
      <c r="A4" t="s">
        <v>2</v>
      </c>
      <c r="B4">
        <v>5.8722000000000003</v>
      </c>
      <c r="C4">
        <v>9.7033000000000005</v>
      </c>
      <c r="D4">
        <v>3.8683000000000001</v>
      </c>
      <c r="F4" s="16"/>
      <c r="I4" s="18"/>
      <c r="J4" s="18"/>
      <c r="K4" s="18"/>
    </row>
    <row r="5" spans="1:11" x14ac:dyDescent="0.3">
      <c r="A5" t="s">
        <v>3</v>
      </c>
      <c r="B5">
        <v>3.0015000000000001</v>
      </c>
      <c r="C5">
        <v>3.6976</v>
      </c>
      <c r="D5">
        <v>1.2283999999999999</v>
      </c>
      <c r="F5" s="16"/>
      <c r="I5" s="18"/>
      <c r="J5" s="18"/>
      <c r="K5" s="18"/>
    </row>
    <row r="6" spans="1:11" x14ac:dyDescent="0.3">
      <c r="A6" t="s">
        <v>4</v>
      </c>
      <c r="B6">
        <v>4.7733999999999996</v>
      </c>
      <c r="C6">
        <v>12.017200000000001</v>
      </c>
      <c r="D6">
        <v>4.6868999999999996</v>
      </c>
      <c r="F6" s="16"/>
      <c r="I6" s="18"/>
      <c r="J6" s="18"/>
      <c r="K6" s="18"/>
    </row>
    <row r="7" spans="1:11" x14ac:dyDescent="0.3">
      <c r="A7" t="s">
        <v>5</v>
      </c>
      <c r="B7">
        <v>0.1172</v>
      </c>
      <c r="C7">
        <v>1.77</v>
      </c>
      <c r="D7">
        <v>7.9699999999999993E-2</v>
      </c>
      <c r="F7" s="16"/>
      <c r="I7" s="18"/>
      <c r="J7" s="18"/>
      <c r="K7" s="18"/>
    </row>
    <row r="8" spans="1:11" x14ac:dyDescent="0.3">
      <c r="A8" t="s">
        <v>6</v>
      </c>
      <c r="B8">
        <v>27.5197</v>
      </c>
      <c r="C8">
        <v>96.501099999999994</v>
      </c>
      <c r="D8">
        <v>37.624200000000002</v>
      </c>
      <c r="F8" s="16"/>
      <c r="I8" s="18"/>
      <c r="J8" s="18"/>
      <c r="K8" s="18"/>
    </row>
    <row r="9" spans="1:11" x14ac:dyDescent="0.3">
      <c r="A9" s="6" t="s">
        <v>7</v>
      </c>
      <c r="B9">
        <v>61.932200000000002</v>
      </c>
      <c r="C9">
        <v>259.99430000000001</v>
      </c>
      <c r="D9">
        <v>129.9751</v>
      </c>
      <c r="F9" s="16"/>
      <c r="I9" s="18"/>
      <c r="J9" s="18"/>
      <c r="K9" s="18"/>
    </row>
    <row r="10" spans="1:11" x14ac:dyDescent="0.3">
      <c r="A10" t="s">
        <v>8</v>
      </c>
      <c r="B10">
        <v>72.657200000000003</v>
      </c>
      <c r="C10">
        <v>227.00030000000001</v>
      </c>
      <c r="D10">
        <v>61.039299999999997</v>
      </c>
      <c r="F10" s="16"/>
      <c r="I10" s="18"/>
      <c r="J10" s="18"/>
      <c r="K10" s="18"/>
    </row>
    <row r="11" spans="1:11" x14ac:dyDescent="0.3">
      <c r="A11" t="s">
        <v>9</v>
      </c>
      <c r="B11">
        <v>1.2216</v>
      </c>
      <c r="C11">
        <v>3.3942999999999999</v>
      </c>
      <c r="D11">
        <v>2.12975</v>
      </c>
      <c r="F11" s="16"/>
      <c r="I11" s="18"/>
      <c r="J11" s="18"/>
      <c r="K11" s="18"/>
    </row>
    <row r="12" spans="1:11" x14ac:dyDescent="0.3">
      <c r="A12" t="s">
        <v>10</v>
      </c>
      <c r="B12">
        <v>1.4818</v>
      </c>
      <c r="C12">
        <v>3.4026000000000001</v>
      </c>
      <c r="D12">
        <v>1.0399</v>
      </c>
      <c r="F12" s="16"/>
      <c r="I12" s="18"/>
      <c r="J12" s="18"/>
      <c r="K12" s="18"/>
    </row>
    <row r="13" spans="1:11" x14ac:dyDescent="0.3">
      <c r="A13" s="6" t="s">
        <v>11</v>
      </c>
      <c r="B13">
        <v>84.729600000000005</v>
      </c>
      <c r="C13">
        <v>283.09449999999998</v>
      </c>
      <c r="D13">
        <v>106.815</v>
      </c>
      <c r="F13" s="16"/>
      <c r="I13" s="18"/>
      <c r="J13" s="18"/>
      <c r="K13" s="18"/>
    </row>
    <row r="14" spans="1:11" x14ac:dyDescent="0.3">
      <c r="A14" s="6" t="s">
        <v>12</v>
      </c>
      <c r="B14">
        <v>8.9417100000000289</v>
      </c>
      <c r="C14">
        <v>49.149684999999998</v>
      </c>
      <c r="D14">
        <v>26.394110000000001</v>
      </c>
      <c r="F14" s="16"/>
      <c r="I14" s="18"/>
      <c r="J14" s="18"/>
      <c r="K14" s="18"/>
    </row>
    <row r="15" spans="1:11" x14ac:dyDescent="0.3">
      <c r="A15" s="7" t="s">
        <v>13</v>
      </c>
      <c r="B15">
        <v>29.276240000000001</v>
      </c>
      <c r="C15">
        <v>154.92681999999999</v>
      </c>
      <c r="D15">
        <v>81.056100000000001</v>
      </c>
      <c r="F15" s="17"/>
      <c r="I15" s="18"/>
      <c r="J15" s="18"/>
      <c r="K15" s="18"/>
    </row>
    <row r="16" spans="1:11" x14ac:dyDescent="0.3">
      <c r="A16" s="7" t="s">
        <v>14</v>
      </c>
      <c r="B16">
        <v>1.8976999999999999</v>
      </c>
      <c r="C16">
        <v>9.3262300000000007</v>
      </c>
      <c r="D16">
        <v>8.9921100000000003</v>
      </c>
      <c r="F16" s="16"/>
      <c r="I16" s="18"/>
      <c r="J16" s="18"/>
      <c r="K16" s="18"/>
    </row>
    <row r="17" spans="1:11" x14ac:dyDescent="0.3">
      <c r="A17" s="7" t="s">
        <v>15</v>
      </c>
      <c r="B17">
        <v>3.153</v>
      </c>
      <c r="C17">
        <v>14.862375</v>
      </c>
      <c r="D17">
        <v>7.36517</v>
      </c>
      <c r="F17" s="16"/>
      <c r="I17" s="18"/>
      <c r="J17" s="18"/>
      <c r="K17" s="18"/>
    </row>
    <row r="18" spans="1:11" x14ac:dyDescent="0.3">
      <c r="A18" s="7" t="s">
        <v>16</v>
      </c>
      <c r="B18">
        <v>7.20045</v>
      </c>
      <c r="C18">
        <v>39.2697</v>
      </c>
      <c r="D18">
        <v>53.656799999999997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3458-4B09-4F8E-9E34-1DBB077E2890}">
  <dimension ref="A1:F54"/>
  <sheetViews>
    <sheetView workbookViewId="0">
      <selection activeCell="I49" sqref="I49"/>
    </sheetView>
  </sheetViews>
  <sheetFormatPr defaultRowHeight="14" x14ac:dyDescent="0.3"/>
  <cols>
    <col min="1" max="1" width="28.58203125" customWidth="1"/>
    <col min="2" max="2" width="25.58203125" customWidth="1"/>
    <col min="3" max="3" width="10.58203125" customWidth="1"/>
  </cols>
  <sheetData>
    <row r="1" spans="1:6" s="5" customFormat="1" ht="104" x14ac:dyDescent="0.3">
      <c r="A1" s="1" t="s">
        <v>64</v>
      </c>
      <c r="B1" s="2" t="s">
        <v>65</v>
      </c>
      <c r="C1" s="3" t="s">
        <v>66</v>
      </c>
      <c r="D1" s="3" t="s">
        <v>67</v>
      </c>
      <c r="E1" s="4" t="s">
        <v>68</v>
      </c>
      <c r="F1" s="5" t="s">
        <v>110</v>
      </c>
    </row>
    <row r="2" spans="1:6" x14ac:dyDescent="0.3">
      <c r="A2" t="s">
        <v>20</v>
      </c>
      <c r="B2" t="s">
        <v>21</v>
      </c>
      <c r="C2">
        <v>2531511</v>
      </c>
      <c r="D2">
        <v>4174959</v>
      </c>
      <c r="E2">
        <v>4009413</v>
      </c>
    </row>
    <row r="3" spans="1:6" s="6" customFormat="1" x14ac:dyDescent="0.3">
      <c r="A3" s="6" t="s">
        <v>22</v>
      </c>
      <c r="B3" s="6" t="s">
        <v>23</v>
      </c>
      <c r="C3" s="7">
        <v>3500</v>
      </c>
      <c r="D3" s="7">
        <v>2149</v>
      </c>
      <c r="E3" s="7">
        <v>952</v>
      </c>
    </row>
    <row r="4" spans="1:6" x14ac:dyDescent="0.3">
      <c r="A4" t="s">
        <v>24</v>
      </c>
      <c r="B4" t="s">
        <v>25</v>
      </c>
      <c r="C4">
        <v>19941</v>
      </c>
      <c r="D4">
        <v>23574</v>
      </c>
      <c r="E4">
        <v>718610</v>
      </c>
    </row>
    <row r="5" spans="1:6" x14ac:dyDescent="0.3">
      <c r="A5" t="s">
        <v>26</v>
      </c>
      <c r="B5" t="s">
        <v>27</v>
      </c>
      <c r="C5">
        <v>11235</v>
      </c>
      <c r="D5">
        <v>14601</v>
      </c>
      <c r="E5">
        <v>3682</v>
      </c>
    </row>
    <row r="6" spans="1:6" x14ac:dyDescent="0.3">
      <c r="A6" t="s">
        <v>28</v>
      </c>
      <c r="B6" t="s">
        <v>29</v>
      </c>
      <c r="C6">
        <v>1562</v>
      </c>
      <c r="D6">
        <v>1437</v>
      </c>
      <c r="E6">
        <v>96097</v>
      </c>
    </row>
    <row r="7" spans="1:6" x14ac:dyDescent="0.3">
      <c r="A7" t="s">
        <v>30</v>
      </c>
      <c r="B7" t="s">
        <v>31</v>
      </c>
      <c r="C7">
        <v>2633</v>
      </c>
      <c r="D7">
        <v>922</v>
      </c>
      <c r="E7">
        <v>322964</v>
      </c>
    </row>
    <row r="8" spans="1:6" x14ac:dyDescent="0.3">
      <c r="A8" t="s">
        <v>32</v>
      </c>
      <c r="B8" t="s">
        <v>33</v>
      </c>
      <c r="C8">
        <v>5055</v>
      </c>
      <c r="D8">
        <v>3020</v>
      </c>
      <c r="E8">
        <v>56268</v>
      </c>
    </row>
    <row r="9" spans="1:6" x14ac:dyDescent="0.3">
      <c r="A9" t="s">
        <v>34</v>
      </c>
      <c r="B9" t="s">
        <v>35</v>
      </c>
      <c r="C9">
        <v>503</v>
      </c>
      <c r="D9">
        <v>377</v>
      </c>
      <c r="E9">
        <v>1455</v>
      </c>
    </row>
    <row r="10" spans="1:6" x14ac:dyDescent="0.3">
      <c r="A10" t="s">
        <v>36</v>
      </c>
      <c r="B10" t="s">
        <v>37</v>
      </c>
      <c r="C10">
        <v>16</v>
      </c>
      <c r="D10">
        <v>54</v>
      </c>
      <c r="E10">
        <v>244</v>
      </c>
    </row>
    <row r="11" spans="1:6" s="6" customFormat="1" x14ac:dyDescent="0.3">
      <c r="C11" s="6">
        <f>SUM(C4:C10)</f>
        <v>40945</v>
      </c>
      <c r="D11" s="6">
        <f t="shared" ref="D11:E11" si="0">SUM(D4:D10)</f>
        <v>43985</v>
      </c>
      <c r="E11" s="6">
        <f t="shared" si="0"/>
        <v>1199320</v>
      </c>
    </row>
    <row r="12" spans="1:6" x14ac:dyDescent="0.3">
      <c r="A12" t="s">
        <v>38</v>
      </c>
      <c r="B12" t="s">
        <v>39</v>
      </c>
      <c r="C12">
        <v>26252</v>
      </c>
      <c r="D12">
        <v>29490</v>
      </c>
      <c r="E12">
        <v>24210</v>
      </c>
    </row>
    <row r="13" spans="1:6" x14ac:dyDescent="0.3">
      <c r="A13" t="s">
        <v>40</v>
      </c>
      <c r="B13" t="s">
        <v>41</v>
      </c>
      <c r="C13">
        <v>20347</v>
      </c>
      <c r="D13">
        <v>22203</v>
      </c>
      <c r="E13">
        <v>5703</v>
      </c>
    </row>
    <row r="14" spans="1:6" x14ac:dyDescent="0.3">
      <c r="A14" t="s">
        <v>42</v>
      </c>
      <c r="B14" t="s">
        <v>43</v>
      </c>
      <c r="C14">
        <v>11765</v>
      </c>
      <c r="D14">
        <v>14755</v>
      </c>
      <c r="E14">
        <v>4804</v>
      </c>
    </row>
    <row r="15" spans="1:6" x14ac:dyDescent="0.3">
      <c r="A15" t="s">
        <v>44</v>
      </c>
      <c r="B15" t="s">
        <v>45</v>
      </c>
      <c r="C15">
        <v>358</v>
      </c>
      <c r="D15">
        <v>585</v>
      </c>
      <c r="E15">
        <v>3966</v>
      </c>
    </row>
    <row r="16" spans="1:6" s="6" customFormat="1" x14ac:dyDescent="0.3">
      <c r="C16" s="6">
        <f>SUM(C12:C15)</f>
        <v>58722</v>
      </c>
      <c r="D16" s="6">
        <f t="shared" ref="D16:E16" si="1">SUM(D12:D15)</f>
        <v>67033</v>
      </c>
      <c r="E16" s="6">
        <f t="shared" si="1"/>
        <v>38683</v>
      </c>
    </row>
    <row r="17" spans="1:5" x14ac:dyDescent="0.3">
      <c r="A17" t="s">
        <v>46</v>
      </c>
      <c r="B17" t="s">
        <v>47</v>
      </c>
      <c r="C17">
        <v>15577</v>
      </c>
      <c r="D17">
        <v>15742</v>
      </c>
      <c r="E17">
        <v>8471</v>
      </c>
    </row>
    <row r="18" spans="1:5" x14ac:dyDescent="0.3">
      <c r="A18" t="s">
        <v>48</v>
      </c>
      <c r="B18" t="s">
        <v>49</v>
      </c>
      <c r="C18">
        <v>13628</v>
      </c>
      <c r="D18">
        <v>561</v>
      </c>
      <c r="E18">
        <v>334</v>
      </c>
    </row>
    <row r="19" spans="1:5" x14ac:dyDescent="0.3">
      <c r="A19" t="s">
        <v>50</v>
      </c>
      <c r="B19" t="s">
        <v>51</v>
      </c>
      <c r="C19">
        <v>810</v>
      </c>
      <c r="D19">
        <v>673</v>
      </c>
      <c r="E19">
        <v>3479</v>
      </c>
    </row>
    <row r="20" spans="1:5" s="6" customFormat="1" x14ac:dyDescent="0.3">
      <c r="C20" s="6">
        <f>SUM(C17:C19)</f>
        <v>30015</v>
      </c>
      <c r="D20" s="6">
        <f t="shared" ref="D20:E20" si="2">SUM(D17:D19)</f>
        <v>16976</v>
      </c>
      <c r="E20" s="6">
        <f t="shared" si="2"/>
        <v>12284</v>
      </c>
    </row>
    <row r="21" spans="1:5" x14ac:dyDescent="0.3">
      <c r="A21" t="s">
        <v>52</v>
      </c>
      <c r="B21" t="s">
        <v>53</v>
      </c>
      <c r="C21">
        <v>16163</v>
      </c>
      <c r="D21">
        <v>7293</v>
      </c>
      <c r="E21">
        <v>29204</v>
      </c>
    </row>
    <row r="22" spans="1:5" x14ac:dyDescent="0.3">
      <c r="A22" t="s">
        <v>54</v>
      </c>
      <c r="B22" t="s">
        <v>55</v>
      </c>
      <c r="C22">
        <v>2565</v>
      </c>
      <c r="D22">
        <v>312</v>
      </c>
      <c r="E22">
        <v>5802</v>
      </c>
    </row>
    <row r="23" spans="1:5" x14ac:dyDescent="0.3">
      <c r="A23" t="s">
        <v>56</v>
      </c>
      <c r="B23" t="s">
        <v>57</v>
      </c>
      <c r="C23">
        <v>29006</v>
      </c>
      <c r="D23">
        <v>42567</v>
      </c>
      <c r="E23">
        <v>11863</v>
      </c>
    </row>
    <row r="24" spans="1:5" s="6" customFormat="1" x14ac:dyDescent="0.3">
      <c r="C24" s="6">
        <f>SUM(C21:C23)</f>
        <v>47734</v>
      </c>
      <c r="D24" s="6">
        <f t="shared" ref="D24:E24" si="3">SUM(D21:D23)</f>
        <v>50172</v>
      </c>
      <c r="E24" s="6">
        <f t="shared" si="3"/>
        <v>46869</v>
      </c>
    </row>
    <row r="25" spans="1:5" x14ac:dyDescent="0.3">
      <c r="A25" t="s">
        <v>58</v>
      </c>
      <c r="B25" t="s">
        <v>59</v>
      </c>
      <c r="C25">
        <v>977</v>
      </c>
      <c r="D25">
        <v>550</v>
      </c>
      <c r="E25">
        <v>164</v>
      </c>
    </row>
    <row r="26" spans="1:5" x14ac:dyDescent="0.3">
      <c r="A26" t="s">
        <v>60</v>
      </c>
      <c r="B26" t="s">
        <v>61</v>
      </c>
      <c r="C26">
        <v>195</v>
      </c>
      <c r="D26">
        <v>220</v>
      </c>
      <c r="E26">
        <v>633</v>
      </c>
    </row>
    <row r="27" spans="1:5" x14ac:dyDescent="0.3">
      <c r="C27" s="6">
        <f>SUM(C25:C26)</f>
        <v>1172</v>
      </c>
      <c r="D27" s="6">
        <f t="shared" ref="D27:E27" si="4">SUM(D25:D26)</f>
        <v>770</v>
      </c>
      <c r="E27" s="6">
        <f t="shared" si="4"/>
        <v>797</v>
      </c>
    </row>
    <row r="28" spans="1:5" x14ac:dyDescent="0.3">
      <c r="A28" t="s">
        <v>62</v>
      </c>
      <c r="B28" t="s">
        <v>63</v>
      </c>
      <c r="C28">
        <v>71296</v>
      </c>
      <c r="D28">
        <v>207504</v>
      </c>
      <c r="E28">
        <v>178691</v>
      </c>
    </row>
    <row r="29" spans="1:5" x14ac:dyDescent="0.3">
      <c r="A29" t="s">
        <v>69</v>
      </c>
      <c r="B29" t="s">
        <v>70</v>
      </c>
      <c r="C29">
        <v>160178</v>
      </c>
      <c r="D29">
        <v>171699</v>
      </c>
      <c r="E29">
        <v>172932</v>
      </c>
    </row>
    <row r="30" spans="1:5" x14ac:dyDescent="0.3">
      <c r="A30" t="s">
        <v>71</v>
      </c>
      <c r="B30" t="s">
        <v>72</v>
      </c>
      <c r="C30">
        <v>10548</v>
      </c>
      <c r="D30">
        <v>9165</v>
      </c>
      <c r="E30">
        <v>3519</v>
      </c>
    </row>
    <row r="31" spans="1:5" x14ac:dyDescent="0.3">
      <c r="A31" t="s">
        <v>73</v>
      </c>
      <c r="B31" t="s">
        <v>74</v>
      </c>
      <c r="C31">
        <v>6016</v>
      </c>
      <c r="D31">
        <v>8906</v>
      </c>
      <c r="E31">
        <v>3195</v>
      </c>
    </row>
    <row r="32" spans="1:5" x14ac:dyDescent="0.3">
      <c r="A32" t="s">
        <v>75</v>
      </c>
      <c r="B32" t="s">
        <v>76</v>
      </c>
      <c r="C32">
        <v>17159</v>
      </c>
      <c r="D32">
        <v>7737</v>
      </c>
      <c r="E32">
        <v>9905</v>
      </c>
    </row>
    <row r="33" spans="1:5" s="6" customFormat="1" x14ac:dyDescent="0.3">
      <c r="C33" s="6">
        <f>SUM(C28:C32)</f>
        <v>265197</v>
      </c>
      <c r="D33" s="6">
        <f t="shared" ref="D33:E33" si="5">SUM(D28:D32)</f>
        <v>405011</v>
      </c>
      <c r="E33" s="6">
        <f t="shared" si="5"/>
        <v>368242</v>
      </c>
    </row>
    <row r="34" spans="1:5" s="6" customFormat="1" x14ac:dyDescent="0.3">
      <c r="A34" s="6" t="s">
        <v>77</v>
      </c>
      <c r="B34" s="6" t="s">
        <v>78</v>
      </c>
      <c r="C34" s="7">
        <v>509322</v>
      </c>
      <c r="D34" s="7">
        <v>1139943</v>
      </c>
      <c r="E34" s="7">
        <v>1099751</v>
      </c>
    </row>
    <row r="35" spans="1:5" x14ac:dyDescent="0.3">
      <c r="A35" t="s">
        <v>79</v>
      </c>
      <c r="B35" t="s">
        <v>80</v>
      </c>
      <c r="C35">
        <v>415058</v>
      </c>
      <c r="D35">
        <v>929331</v>
      </c>
      <c r="E35">
        <v>486284</v>
      </c>
    </row>
    <row r="36" spans="1:5" x14ac:dyDescent="0.3">
      <c r="A36" t="s">
        <v>81</v>
      </c>
      <c r="B36" t="s">
        <v>82</v>
      </c>
      <c r="C36">
        <v>334917</v>
      </c>
      <c r="D36">
        <v>250269</v>
      </c>
      <c r="E36">
        <v>126099</v>
      </c>
    </row>
    <row r="37" spans="1:5" x14ac:dyDescent="0.3">
      <c r="A37" t="s">
        <v>83</v>
      </c>
      <c r="B37" t="s">
        <v>84</v>
      </c>
      <c r="C37">
        <v>6597</v>
      </c>
      <c r="D37">
        <v>10403</v>
      </c>
      <c r="E37">
        <v>38010</v>
      </c>
    </row>
    <row r="38" spans="1:5" s="6" customFormat="1" x14ac:dyDescent="0.3">
      <c r="C38" s="6">
        <f>SUM(C35:C37)</f>
        <v>756572</v>
      </c>
      <c r="D38" s="6">
        <f t="shared" ref="D38:E38" si="6">SUM(D35:D37)</f>
        <v>1190003</v>
      </c>
      <c r="E38" s="6">
        <f t="shared" si="6"/>
        <v>650393</v>
      </c>
    </row>
    <row r="39" spans="1:5" x14ac:dyDescent="0.3">
      <c r="A39" t="s">
        <v>85</v>
      </c>
      <c r="B39" t="s">
        <v>86</v>
      </c>
      <c r="C39">
        <v>2839</v>
      </c>
      <c r="D39">
        <v>4756</v>
      </c>
      <c r="E39">
        <v>7236</v>
      </c>
    </row>
    <row r="40" spans="1:5" x14ac:dyDescent="0.3">
      <c r="A40" t="s">
        <v>87</v>
      </c>
      <c r="B40" t="s">
        <v>88</v>
      </c>
      <c r="C40">
        <v>392</v>
      </c>
      <c r="D40">
        <v>1695</v>
      </c>
      <c r="E40">
        <v>5342</v>
      </c>
    </row>
    <row r="41" spans="1:5" x14ac:dyDescent="0.3">
      <c r="A41" t="s">
        <v>89</v>
      </c>
      <c r="B41" t="s">
        <v>90</v>
      </c>
      <c r="C41">
        <v>881</v>
      </c>
      <c r="D41">
        <v>9254</v>
      </c>
      <c r="E41">
        <v>14949</v>
      </c>
    </row>
    <row r="42" spans="1:5" x14ac:dyDescent="0.3">
      <c r="A42" t="s">
        <v>91</v>
      </c>
      <c r="B42" t="s">
        <v>92</v>
      </c>
      <c r="C42">
        <v>799</v>
      </c>
      <c r="D42">
        <v>4600</v>
      </c>
      <c r="E42">
        <v>5141</v>
      </c>
    </row>
    <row r="43" spans="1:5" x14ac:dyDescent="0.3">
      <c r="A43" t="s">
        <v>93</v>
      </c>
      <c r="B43" t="s">
        <v>94</v>
      </c>
      <c r="C43">
        <v>659</v>
      </c>
      <c r="D43">
        <v>11761</v>
      </c>
      <c r="E43">
        <v>1021</v>
      </c>
    </row>
    <row r="44" spans="1:5" x14ac:dyDescent="0.3">
      <c r="A44" t="s">
        <v>95</v>
      </c>
      <c r="B44" t="s">
        <v>96</v>
      </c>
      <c r="C44">
        <v>637</v>
      </c>
      <c r="D44">
        <v>1862</v>
      </c>
      <c r="E44">
        <v>1231</v>
      </c>
    </row>
    <row r="45" spans="1:5" x14ac:dyDescent="0.3">
      <c r="A45" t="s">
        <v>97</v>
      </c>
      <c r="B45" t="s">
        <v>98</v>
      </c>
      <c r="C45">
        <v>9</v>
      </c>
      <c r="D45">
        <v>15</v>
      </c>
      <c r="E45">
        <v>55</v>
      </c>
    </row>
    <row r="46" spans="1:5" s="6" customFormat="1" x14ac:dyDescent="0.3">
      <c r="C46" s="6">
        <f>SUM(C39:C45)</f>
        <v>6216</v>
      </c>
      <c r="D46" s="6">
        <f t="shared" ref="D46:E46" si="7">SUM(D39:D45)</f>
        <v>33943</v>
      </c>
      <c r="E46" s="6">
        <f t="shared" si="7"/>
        <v>34975</v>
      </c>
    </row>
    <row r="47" spans="1:5" x14ac:dyDescent="0.3">
      <c r="A47" t="s">
        <v>10</v>
      </c>
      <c r="B47" t="s">
        <v>99</v>
      </c>
      <c r="C47">
        <v>413</v>
      </c>
      <c r="D47">
        <v>917</v>
      </c>
      <c r="E47">
        <v>6839</v>
      </c>
    </row>
    <row r="48" spans="1:5" x14ac:dyDescent="0.3">
      <c r="A48" t="s">
        <v>100</v>
      </c>
      <c r="B48" t="s">
        <v>101</v>
      </c>
      <c r="C48">
        <v>4272</v>
      </c>
      <c r="D48">
        <v>2995</v>
      </c>
      <c r="E48">
        <v>11652</v>
      </c>
    </row>
    <row r="49" spans="1:5" x14ac:dyDescent="0.3">
      <c r="A49" t="s">
        <v>102</v>
      </c>
      <c r="B49" t="s">
        <v>103</v>
      </c>
      <c r="C49">
        <v>133</v>
      </c>
      <c r="D49">
        <v>114</v>
      </c>
      <c r="E49">
        <v>508</v>
      </c>
    </row>
    <row r="50" spans="1:5" s="6" customFormat="1" x14ac:dyDescent="0.3">
      <c r="C50" s="6">
        <f>SUM(C47:C49)</f>
        <v>4818</v>
      </c>
      <c r="D50" s="6">
        <f t="shared" ref="D50:E50" si="8">SUM(D47:D49)</f>
        <v>4026</v>
      </c>
      <c r="E50" s="6">
        <f t="shared" si="8"/>
        <v>18999</v>
      </c>
    </row>
    <row r="51" spans="1:5" x14ac:dyDescent="0.3">
      <c r="A51" t="s">
        <v>104</v>
      </c>
      <c r="B51" t="s">
        <v>105</v>
      </c>
      <c r="C51">
        <v>805407</v>
      </c>
      <c r="D51">
        <v>1218576</v>
      </c>
      <c r="E51">
        <v>534428</v>
      </c>
    </row>
    <row r="52" spans="1:5" x14ac:dyDescent="0.3">
      <c r="A52" t="s">
        <v>106</v>
      </c>
      <c r="B52" t="s">
        <v>107</v>
      </c>
      <c r="C52">
        <v>1886</v>
      </c>
      <c r="D52">
        <v>2364</v>
      </c>
      <c r="E52">
        <v>3716</v>
      </c>
    </row>
    <row r="53" spans="1:5" ht="14.5" customHeight="1" x14ac:dyDescent="0.3">
      <c r="A53" t="s">
        <v>108</v>
      </c>
      <c r="B53" t="s">
        <v>109</v>
      </c>
      <c r="C53">
        <v>3</v>
      </c>
      <c r="D53">
        <v>5</v>
      </c>
      <c r="E53">
        <v>6</v>
      </c>
    </row>
    <row r="54" spans="1:5" s="6" customFormat="1" x14ac:dyDescent="0.3">
      <c r="C54" s="6">
        <f>SUM(C51:C53)</f>
        <v>807296</v>
      </c>
      <c r="D54" s="6">
        <f t="shared" ref="D54:E54" si="9">SUM(D51:D53)</f>
        <v>1220945</v>
      </c>
      <c r="E54" s="6">
        <f t="shared" si="9"/>
        <v>538150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B5D8-A7F9-4ECE-9101-D3BF5F576B05}">
  <dimension ref="A1:DJ114"/>
  <sheetViews>
    <sheetView workbookViewId="0">
      <selection activeCell="C2" sqref="C2"/>
    </sheetView>
  </sheetViews>
  <sheetFormatPr defaultRowHeight="14" x14ac:dyDescent="0.3"/>
  <cols>
    <col min="1" max="1" width="22.83203125" customWidth="1"/>
    <col min="2" max="2" width="11.25" customWidth="1"/>
    <col min="4" max="4" width="11.1640625" customWidth="1"/>
    <col min="8" max="8" width="11.08203125" customWidth="1"/>
  </cols>
  <sheetData>
    <row r="1" spans="1:8" x14ac:dyDescent="0.3">
      <c r="B1" t="s">
        <v>18</v>
      </c>
      <c r="C1" t="s">
        <v>17</v>
      </c>
    </row>
    <row r="2" spans="1:8" x14ac:dyDescent="0.3">
      <c r="A2" s="8" t="s">
        <v>112</v>
      </c>
      <c r="B2">
        <v>1.080909987039091E-3</v>
      </c>
      <c r="D2">
        <v>3.1805758491549427E-3</v>
      </c>
    </row>
    <row r="3" spans="1:8" x14ac:dyDescent="0.3">
      <c r="A3" s="8" t="s">
        <v>113</v>
      </c>
      <c r="B3">
        <v>5.4868246092996774E-5</v>
      </c>
      <c r="D3">
        <v>3.435712400698829E-4</v>
      </c>
    </row>
    <row r="4" spans="1:8" x14ac:dyDescent="0.3">
      <c r="A4" s="8" t="s">
        <v>114</v>
      </c>
      <c r="B4">
        <v>1.7551702221602671E-4</v>
      </c>
      <c r="D4">
        <v>9.9218295321565906E-4</v>
      </c>
    </row>
    <row r="5" spans="1:8" x14ac:dyDescent="0.3">
      <c r="A5" s="8" t="s">
        <v>115</v>
      </c>
      <c r="B5">
        <v>1.5475227853623211E-4</v>
      </c>
      <c r="D5">
        <v>5.3078171642958745E-4</v>
      </c>
    </row>
    <row r="6" spans="1:8" x14ac:dyDescent="0.3">
      <c r="A6" s="8" t="s">
        <v>116</v>
      </c>
      <c r="B6">
        <v>2.2265474194950476E-4</v>
      </c>
      <c r="D6">
        <v>9.4444283660003966E-4</v>
      </c>
    </row>
    <row r="7" spans="1:8" s="6" customFormat="1" x14ac:dyDescent="0.3">
      <c r="A7" s="13"/>
      <c r="B7" s="6">
        <f>SUM(B2:B6)</f>
        <v>1.6887022758338512E-3</v>
      </c>
      <c r="D7" s="6">
        <f>SUM(D2:D6)</f>
        <v>5.9915545954701112E-3</v>
      </c>
      <c r="E7"/>
      <c r="F7"/>
      <c r="H7"/>
    </row>
    <row r="8" spans="1:8" x14ac:dyDescent="0.3">
      <c r="A8" s="8" t="s">
        <v>117</v>
      </c>
      <c r="B8">
        <v>1.5549260388488598E-3</v>
      </c>
      <c r="D8">
        <v>7.2987945278863797E-4</v>
      </c>
    </row>
    <row r="9" spans="1:8" x14ac:dyDescent="0.3">
      <c r="A9" s="8" t="s">
        <v>118</v>
      </c>
      <c r="B9">
        <v>3.3749184670917905E-4</v>
      </c>
      <c r="D9">
        <v>1.9237677000108496E-4</v>
      </c>
    </row>
    <row r="10" spans="1:8" x14ac:dyDescent="0.3">
      <c r="A10" s="8" t="s">
        <v>119</v>
      </c>
      <c r="B10">
        <v>2.1013831667461829E-4</v>
      </c>
      <c r="D10">
        <v>1.0839838084273054E-4</v>
      </c>
    </row>
    <row r="11" spans="1:8" x14ac:dyDescent="0.3">
      <c r="A11" s="8" t="s">
        <v>120</v>
      </c>
      <c r="B11">
        <v>5.5398154774768008E-5</v>
      </c>
      <c r="D11">
        <v>2.1077658500116944E-5</v>
      </c>
    </row>
    <row r="12" spans="1:8" x14ac:dyDescent="0.3">
      <c r="A12" s="8" t="s">
        <v>121</v>
      </c>
      <c r="B12">
        <v>3.1099829904377758E-4</v>
      </c>
      <c r="D12">
        <v>1.5230401887957699E-4</v>
      </c>
    </row>
    <row r="13" spans="1:8" x14ac:dyDescent="0.3">
      <c r="A13" s="9" t="s">
        <v>122</v>
      </c>
      <c r="B13">
        <v>1.1803883942934545E-4</v>
      </c>
      <c r="D13">
        <v>1.5166084714724732E-5</v>
      </c>
    </row>
    <row r="14" spans="1:8" s="6" customFormat="1" x14ac:dyDescent="0.3">
      <c r="A14" s="14"/>
      <c r="B14" s="6">
        <f>SUM(B8:B13)</f>
        <v>2.5869914954805479E-3</v>
      </c>
      <c r="D14" s="6">
        <f>SUM(D8:D13)</f>
        <v>1.2192023657268721E-3</v>
      </c>
      <c r="E14"/>
      <c r="F14"/>
      <c r="H14"/>
    </row>
    <row r="15" spans="1:8" ht="28" x14ac:dyDescent="0.3">
      <c r="A15" s="8" t="s">
        <v>123</v>
      </c>
      <c r="B15">
        <v>3.0149195058713259E-4</v>
      </c>
      <c r="D15">
        <v>1.2927212515379861E-4</v>
      </c>
    </row>
    <row r="16" spans="1:8" x14ac:dyDescent="0.3">
      <c r="A16" s="8" t="s">
        <v>124</v>
      </c>
      <c r="B16">
        <v>1.3068733112546241E-5</v>
      </c>
      <c r="D16">
        <v>5.6018528913670456E-6</v>
      </c>
    </row>
    <row r="17" spans="1:8" x14ac:dyDescent="0.3">
      <c r="A17" s="8" t="s">
        <v>125</v>
      </c>
      <c r="B17">
        <v>1.6209421253528532E-4</v>
      </c>
      <c r="D17">
        <v>6.948003747342766E-5</v>
      </c>
    </row>
    <row r="18" spans="1:8" x14ac:dyDescent="0.3">
      <c r="A18" s="8" t="s">
        <v>126</v>
      </c>
      <c r="B18">
        <v>6.2960411625460422E-5</v>
      </c>
      <c r="D18">
        <v>2.6982966330956307E-5</v>
      </c>
    </row>
    <row r="19" spans="1:8" x14ac:dyDescent="0.3">
      <c r="A19" s="8" t="s">
        <v>127</v>
      </c>
      <c r="B19">
        <v>4.4468825967367313E-4</v>
      </c>
      <c r="D19">
        <v>1.8762843230806702E-4</v>
      </c>
    </row>
    <row r="20" spans="1:8" x14ac:dyDescent="0.3">
      <c r="A20" s="8" t="s">
        <v>128</v>
      </c>
      <c r="B20">
        <v>1.2044935287213708E-4</v>
      </c>
      <c r="D20">
        <v>5.0168057631496605E-5</v>
      </c>
    </row>
    <row r="21" spans="1:8" x14ac:dyDescent="0.3">
      <c r="A21" s="8" t="s">
        <v>129</v>
      </c>
      <c r="B21">
        <v>1.2685882196942442E-4</v>
      </c>
      <c r="D21">
        <v>5.2831285256461365E-5</v>
      </c>
    </row>
    <row r="22" spans="1:8" x14ac:dyDescent="0.3">
      <c r="A22" s="8" t="s">
        <v>130</v>
      </c>
      <c r="B22">
        <v>7.7298837953212407E-6</v>
      </c>
      <c r="D22">
        <v>2.8656325286915537E-6</v>
      </c>
    </row>
    <row r="23" spans="1:8" s="6" customFormat="1" x14ac:dyDescent="0.3">
      <c r="A23" s="13"/>
      <c r="B23" s="6">
        <f>SUM(B15:B22)</f>
        <v>1.2393416261709802E-3</v>
      </c>
      <c r="D23"/>
      <c r="E23"/>
      <c r="F23"/>
      <c r="H23"/>
    </row>
    <row r="24" spans="1:8" x14ac:dyDescent="0.3">
      <c r="A24" s="8" t="s">
        <v>131</v>
      </c>
      <c r="B24">
        <v>2.7745618987537181E-4</v>
      </c>
      <c r="D24">
        <v>7.5559082802921393E-5</v>
      </c>
    </row>
    <row r="25" spans="1:8" x14ac:dyDescent="0.3">
      <c r="A25" s="8" t="s">
        <v>132</v>
      </c>
      <c r="B25">
        <v>2.7309824592815462E-5</v>
      </c>
      <c r="D25">
        <v>7.4351657692363681E-6</v>
      </c>
    </row>
    <row r="26" spans="1:8" x14ac:dyDescent="0.3">
      <c r="A26" s="8" t="s">
        <v>133</v>
      </c>
      <c r="B26">
        <v>2.4864480448540982E-5</v>
      </c>
      <c r="D26">
        <v>6.7692300425945865E-6</v>
      </c>
    </row>
    <row r="27" spans="1:8" x14ac:dyDescent="0.3">
      <c r="A27" s="8" t="s">
        <v>134</v>
      </c>
      <c r="B27">
        <v>3.8877085821674515E-5</v>
      </c>
      <c r="D27">
        <v>1.0583828378123943E-5</v>
      </c>
    </row>
    <row r="28" spans="1:8" x14ac:dyDescent="0.3">
      <c r="A28" s="8" t="s">
        <v>135</v>
      </c>
      <c r="B28">
        <v>1.2676315267557504E-4</v>
      </c>
      <c r="D28">
        <v>2.6747497480864652E-5</v>
      </c>
    </row>
    <row r="29" spans="1:8" ht="28" x14ac:dyDescent="0.3">
      <c r="A29" s="8" t="s">
        <v>136</v>
      </c>
      <c r="B29">
        <v>3.1391329943113932E-5</v>
      </c>
      <c r="D29">
        <v>6.5413403067934613E-6</v>
      </c>
    </row>
    <row r="30" spans="1:8" s="6" customFormat="1" x14ac:dyDescent="0.3">
      <c r="A30" s="13"/>
      <c r="B30" s="6">
        <f>SUM(B24:B29)</f>
        <v>5.2666206335709172E-4</v>
      </c>
      <c r="D30">
        <f>SUM(D15:D29)</f>
        <v>6.5846653435480055E-4</v>
      </c>
      <c r="E30"/>
      <c r="F30"/>
      <c r="H30"/>
    </row>
    <row r="31" spans="1:8" ht="28" x14ac:dyDescent="0.3">
      <c r="A31" s="8" t="s">
        <v>137</v>
      </c>
      <c r="B31">
        <v>3.4932009360273831E-5</v>
      </c>
      <c r="D31">
        <v>1.2536304719526736E-5</v>
      </c>
    </row>
    <row r="32" spans="1:8" x14ac:dyDescent="0.3">
      <c r="A32" s="8" t="s">
        <v>138</v>
      </c>
      <c r="B32">
        <v>1.3223871745130943E-5</v>
      </c>
      <c r="D32">
        <v>1.8529381211589167E-6</v>
      </c>
    </row>
    <row r="33" spans="1:114" x14ac:dyDescent="0.3">
      <c r="A33" s="8" t="s">
        <v>139</v>
      </c>
      <c r="B33">
        <v>5.0117408591129095E-4</v>
      </c>
      <c r="D33">
        <v>1.8207411892368454E-4</v>
      </c>
    </row>
    <row r="34" spans="1:114" s="6" customFormat="1" x14ac:dyDescent="0.3">
      <c r="A34" s="13"/>
      <c r="B34" s="6">
        <f>SUM(B31:B33)</f>
        <v>5.4932996701669576E-4</v>
      </c>
      <c r="D34">
        <f>SUM(D31:D33)</f>
        <v>1.9646336176437019E-4</v>
      </c>
      <c r="E34"/>
      <c r="F34"/>
      <c r="H34"/>
    </row>
    <row r="35" spans="1:114" x14ac:dyDescent="0.3">
      <c r="A35" s="8" t="s">
        <v>140</v>
      </c>
      <c r="B35">
        <v>4.323497816247034E-5</v>
      </c>
      <c r="D35">
        <v>1.2962995921419553E-5</v>
      </c>
    </row>
    <row r="36" spans="1:114" ht="28" x14ac:dyDescent="0.3">
      <c r="A36" s="8" t="s">
        <v>141</v>
      </c>
      <c r="B36">
        <v>8.3263040349171845E-5</v>
      </c>
      <c r="D36">
        <v>6.6963441744669008E-6</v>
      </c>
    </row>
    <row r="37" spans="1:114" s="6" customFormat="1" x14ac:dyDescent="0.3">
      <c r="A37" s="13"/>
      <c r="B37" s="6">
        <f>SUM(B35:B36)</f>
        <v>1.2649801851164218E-4</v>
      </c>
      <c r="D37" s="6">
        <f>SUM(D31:D36)</f>
        <v>4.1258606362462683E-4</v>
      </c>
      <c r="E37"/>
      <c r="F37"/>
      <c r="H37"/>
    </row>
    <row r="38" spans="1:114" x14ac:dyDescent="0.3">
      <c r="A38" s="8" t="s">
        <v>142</v>
      </c>
      <c r="B38">
        <v>1.0490549986229811E-2</v>
      </c>
      <c r="D38">
        <v>9.6032104888890007E-4</v>
      </c>
    </row>
    <row r="39" spans="1:114" x14ac:dyDescent="0.3">
      <c r="A39" s="8" t="s">
        <v>143</v>
      </c>
      <c r="B39">
        <v>1.7320067336194737E-3</v>
      </c>
      <c r="D39">
        <v>1.5688727252837325E-4</v>
      </c>
    </row>
    <row r="40" spans="1:114" x14ac:dyDescent="0.3">
      <c r="A40" s="8" t="s">
        <v>144</v>
      </c>
      <c r="B40">
        <v>3.7824605194152275E-3</v>
      </c>
      <c r="D40">
        <v>1.6301896489219973E-3</v>
      </c>
    </row>
    <row r="41" spans="1:114" x14ac:dyDescent="0.3">
      <c r="A41" s="8" t="s">
        <v>145</v>
      </c>
      <c r="B41">
        <v>9.9389203734530558E-4</v>
      </c>
      <c r="D41">
        <v>4.2673387802316377E-4</v>
      </c>
    </row>
    <row r="42" spans="1:114" x14ac:dyDescent="0.3">
      <c r="A42" s="8" t="s">
        <v>146</v>
      </c>
      <c r="B42">
        <v>3.8884235484936796E-4</v>
      </c>
      <c r="D42">
        <v>1.6678601004691489E-4</v>
      </c>
      <c r="P42">
        <v>82495.508926542694</v>
      </c>
      <c r="Q42">
        <v>8907.4770779085902</v>
      </c>
      <c r="R42">
        <v>25739.085616040298</v>
      </c>
      <c r="S42">
        <v>13842.981070550401</v>
      </c>
      <c r="T42">
        <v>24575.048012258099</v>
      </c>
      <c r="U42">
        <v>19854.803870793101</v>
      </c>
      <c r="V42">
        <v>6527.8283269432004</v>
      </c>
      <c r="W42">
        <v>5058.8437824774201</v>
      </c>
      <c r="X42">
        <v>591.98655008135802</v>
      </c>
      <c r="Y42">
        <v>4148.6765007848899</v>
      </c>
      <c r="Z42">
        <v>237.94069673926199</v>
      </c>
      <c r="AA42">
        <v>4535.7759637877498</v>
      </c>
      <c r="AB42">
        <v>196.552425104082</v>
      </c>
      <c r="AC42">
        <v>2437.8487130161102</v>
      </c>
      <c r="AD42">
        <v>946.75236420873</v>
      </c>
      <c r="AE42">
        <v>5406.9773288999504</v>
      </c>
      <c r="AF42">
        <v>1333.0015213168799</v>
      </c>
      <c r="AG42">
        <v>1403.76540262494</v>
      </c>
      <c r="AH42">
        <v>73.912824728158</v>
      </c>
      <c r="AI42">
        <v>2021.94949058263</v>
      </c>
      <c r="AJ42">
        <v>198.9638979435</v>
      </c>
      <c r="AK42">
        <v>181.143559828013</v>
      </c>
      <c r="AL42">
        <v>283.221627416768</v>
      </c>
      <c r="AM42">
        <v>707.86164686702602</v>
      </c>
      <c r="AN42">
        <v>170.91409335184599</v>
      </c>
      <c r="AO42">
        <v>326.38483956190601</v>
      </c>
      <c r="AP42">
        <v>57.931121006091999</v>
      </c>
      <c r="AQ42">
        <v>4833.1184015245299</v>
      </c>
      <c r="AR42">
        <v>341.01688463901797</v>
      </c>
      <c r="AS42">
        <v>199.48060611551699</v>
      </c>
      <c r="AT42">
        <v>27664.448350244202</v>
      </c>
      <c r="AU42">
        <v>4519.5300599664197</v>
      </c>
      <c r="AV42">
        <v>64745.442664324699</v>
      </c>
      <c r="AW42">
        <v>16948.380116843498</v>
      </c>
      <c r="AX42">
        <v>6624.15815107455</v>
      </c>
      <c r="AY42">
        <v>10063.682108340799</v>
      </c>
      <c r="AZ42">
        <v>114556.045974402</v>
      </c>
      <c r="BA42">
        <v>3304.2060205278799</v>
      </c>
      <c r="BB42">
        <v>3481.2125528769202</v>
      </c>
      <c r="BC42">
        <v>399.129778200018</v>
      </c>
      <c r="BD42">
        <v>1340.00666366159</v>
      </c>
      <c r="BE42">
        <v>10427995.7924379</v>
      </c>
      <c r="BF42">
        <v>2178707.3661742001</v>
      </c>
      <c r="BG42">
        <v>1619933.77654361</v>
      </c>
      <c r="BH42">
        <v>726148.62209771003</v>
      </c>
      <c r="BI42">
        <v>1403722.7190603199</v>
      </c>
      <c r="BJ42">
        <v>1564596.99585909</v>
      </c>
      <c r="BK42">
        <v>1004609.50782659</v>
      </c>
      <c r="BL42">
        <v>15513.20933879</v>
      </c>
      <c r="BM42">
        <v>1065.5200325748999</v>
      </c>
      <c r="BN42">
        <v>9518.8577263021198</v>
      </c>
      <c r="BO42">
        <v>53.831072979730699</v>
      </c>
      <c r="BP42">
        <v>774.51631256357598</v>
      </c>
      <c r="BQ42">
        <v>171.508445469387</v>
      </c>
      <c r="BR42">
        <v>1191.28227633657</v>
      </c>
      <c r="BS42">
        <v>155.12452173461199</v>
      </c>
      <c r="BT42">
        <v>235.945728275698</v>
      </c>
      <c r="BU42">
        <v>23.749358979404601</v>
      </c>
      <c r="BV42">
        <v>40.835041986842597</v>
      </c>
      <c r="BW42">
        <v>154.02759507103701</v>
      </c>
      <c r="BX42">
        <v>36.4062426376872</v>
      </c>
      <c r="BY42">
        <v>91.884708343892498</v>
      </c>
      <c r="BZ42">
        <v>59.412192845247702</v>
      </c>
      <c r="CA42">
        <v>22.975837835987999</v>
      </c>
      <c r="CB42">
        <v>24.0888976476278</v>
      </c>
      <c r="CC42">
        <v>1282.1057134596199</v>
      </c>
      <c r="CD42">
        <v>10.504482647312599</v>
      </c>
      <c r="CE42">
        <v>6911407.0770230396</v>
      </c>
      <c r="CF42">
        <v>508.084886576428</v>
      </c>
      <c r="CG42">
        <v>73.437267259870396</v>
      </c>
      <c r="CH42">
        <v>15701.856582053601</v>
      </c>
      <c r="CI42">
        <v>7598.8884432081704</v>
      </c>
      <c r="CJ42">
        <v>44280.042319561799</v>
      </c>
      <c r="CK42">
        <v>5746.50125134481</v>
      </c>
      <c r="CL42">
        <v>7633.9302629611602</v>
      </c>
      <c r="CM42">
        <v>2483.7086402494901</v>
      </c>
      <c r="CN42">
        <v>11973.936331090301</v>
      </c>
      <c r="CO42">
        <v>7255.3527261122599</v>
      </c>
      <c r="CP42">
        <v>13227.664548278</v>
      </c>
      <c r="CQ42">
        <v>16267.3757569684</v>
      </c>
      <c r="CR42">
        <v>45713.582260572803</v>
      </c>
      <c r="CS42">
        <v>29134.864036976</v>
      </c>
      <c r="CT42">
        <v>5864.4103333904604</v>
      </c>
      <c r="CU42">
        <v>29747.595935631001</v>
      </c>
      <c r="CV42">
        <v>162170.39169974899</v>
      </c>
      <c r="CW42">
        <v>6196.9198294460602</v>
      </c>
      <c r="CX42">
        <v>13884.152561692399</v>
      </c>
      <c r="CY42">
        <v>2785.0846468786899</v>
      </c>
      <c r="CZ42">
        <v>8788.6304246151903</v>
      </c>
      <c r="DA42">
        <v>14493.3157863703</v>
      </c>
      <c r="DB42">
        <v>13314.597698363899</v>
      </c>
      <c r="DC42">
        <v>388.69717910781299</v>
      </c>
      <c r="DD42">
        <v>2233.6494497206299</v>
      </c>
      <c r="DE42">
        <v>750.10994807731095</v>
      </c>
      <c r="DF42">
        <v>23340.2584642685</v>
      </c>
      <c r="DG42">
        <v>2825.7556237764802</v>
      </c>
      <c r="DI42">
        <v>407187.79370560567</v>
      </c>
      <c r="DJ42">
        <v>60714.518965267052</v>
      </c>
    </row>
    <row r="43" spans="1:114" x14ac:dyDescent="0.3">
      <c r="A43" s="8" t="s">
        <v>147</v>
      </c>
      <c r="B43">
        <v>5.909744248974231E-4</v>
      </c>
      <c r="D43">
        <v>2.5338787917652709E-4</v>
      </c>
      <c r="P43">
        <v>132499.16498981501</v>
      </c>
      <c r="Q43">
        <v>14316.615108256001</v>
      </c>
      <c r="R43">
        <v>41328.659537292697</v>
      </c>
      <c r="S43">
        <v>22035.818070449001</v>
      </c>
      <c r="T43">
        <v>39265.649181432302</v>
      </c>
      <c r="U43">
        <v>29482.235204139</v>
      </c>
      <c r="V43">
        <v>6476.1001743860397</v>
      </c>
      <c r="W43">
        <v>2268.4691468891301</v>
      </c>
      <c r="X43">
        <v>832.78196073941001</v>
      </c>
      <c r="Y43">
        <v>6146.4884090113801</v>
      </c>
      <c r="Z43">
        <v>787.22820111815804</v>
      </c>
      <c r="AA43">
        <v>4202.5216628196704</v>
      </c>
      <c r="AB43">
        <v>182.11124865388101</v>
      </c>
      <c r="AC43">
        <v>2258.7341413952299</v>
      </c>
      <c r="AD43">
        <v>877.19220518783004</v>
      </c>
      <c r="AE43">
        <v>7275.9818378270702</v>
      </c>
      <c r="AF43">
        <v>2058.1658971134598</v>
      </c>
      <c r="AG43">
        <v>2167.42594290227</v>
      </c>
      <c r="AH43">
        <v>119.792894075511</v>
      </c>
      <c r="AI43">
        <v>3085.5534079724498</v>
      </c>
      <c r="AJ43">
        <v>303.62466333723597</v>
      </c>
      <c r="AK43">
        <v>276.43031191571902</v>
      </c>
      <c r="AL43">
        <v>432.20439568720099</v>
      </c>
      <c r="AM43">
        <v>1100.16613543063</v>
      </c>
      <c r="AN43">
        <v>271.25531021972603</v>
      </c>
      <c r="AO43">
        <v>521.02106211053899</v>
      </c>
      <c r="AP43">
        <v>67.3203573548452</v>
      </c>
      <c r="AQ43">
        <v>7474.3905789659802</v>
      </c>
      <c r="AR43">
        <v>535.23169841085701</v>
      </c>
      <c r="AS43">
        <v>253.16646174287899</v>
      </c>
      <c r="AT43">
        <v>37249.554821772501</v>
      </c>
      <c r="AU43">
        <v>6085.4451390454697</v>
      </c>
      <c r="AV43">
        <v>45449.097134160897</v>
      </c>
      <c r="AW43">
        <v>11897.1860025839</v>
      </c>
      <c r="AX43">
        <v>4649.93356831459</v>
      </c>
      <c r="AY43">
        <v>7064.3623218491202</v>
      </c>
      <c r="AZ43">
        <v>80414.445350063004</v>
      </c>
      <c r="BA43">
        <v>5043.0149975843196</v>
      </c>
      <c r="BB43">
        <v>4582.8758038529504</v>
      </c>
      <c r="BC43">
        <v>629.65229004091304</v>
      </c>
      <c r="BD43">
        <v>2113.9446629356198</v>
      </c>
      <c r="BE43">
        <v>15113497.9686646</v>
      </c>
      <c r="BF43">
        <v>3157643.1376072201</v>
      </c>
      <c r="BG43">
        <v>2347801.66088267</v>
      </c>
      <c r="BH43">
        <v>1052421.3802407701</v>
      </c>
      <c r="BI43">
        <v>2034442.75250584</v>
      </c>
      <c r="BJ43">
        <v>745469.77790313098</v>
      </c>
      <c r="BK43">
        <v>1099151.00169588</v>
      </c>
      <c r="BL43">
        <v>4058.8637227547902</v>
      </c>
      <c r="BM43">
        <v>188.97677469987201</v>
      </c>
      <c r="BN43">
        <v>1688.23013828891</v>
      </c>
      <c r="BO43">
        <v>28.2664992268984</v>
      </c>
      <c r="BP43">
        <v>406.69567850787598</v>
      </c>
      <c r="BQ43">
        <v>303.30787386297698</v>
      </c>
      <c r="BR43">
        <v>562.45224558424297</v>
      </c>
      <c r="BS43">
        <v>274.33336441577501</v>
      </c>
      <c r="BT43">
        <v>417.26340061269701</v>
      </c>
      <c r="BU43">
        <v>34.480642268906202</v>
      </c>
      <c r="BV43">
        <v>59.286588577195502</v>
      </c>
      <c r="BW43">
        <v>223.62584227178701</v>
      </c>
      <c r="BX43">
        <v>64.250166500465994</v>
      </c>
      <c r="BY43">
        <v>162.15921727199901</v>
      </c>
      <c r="BZ43">
        <v>104.85133883367</v>
      </c>
      <c r="CA43">
        <v>39.361851848687301</v>
      </c>
      <c r="CB43">
        <v>41.493236102374198</v>
      </c>
      <c r="CC43">
        <v>620.55221296019295</v>
      </c>
      <c r="CD43">
        <v>36.773984681174497</v>
      </c>
      <c r="CE43">
        <v>12684261.2500517</v>
      </c>
      <c r="CF43">
        <v>789.67018265192905</v>
      </c>
      <c r="CG43">
        <v>120.190486991961</v>
      </c>
      <c r="CH43">
        <v>9149.1864044022605</v>
      </c>
      <c r="CI43">
        <v>10911.8377907145</v>
      </c>
      <c r="CJ43">
        <v>63585.173380047403</v>
      </c>
      <c r="CK43">
        <v>8251.8502525007207</v>
      </c>
      <c r="CL43">
        <v>10962.157078317299</v>
      </c>
      <c r="CM43">
        <v>3566.5513455486698</v>
      </c>
      <c r="CN43">
        <v>17194.310975571701</v>
      </c>
      <c r="CO43">
        <v>10418.528006226399</v>
      </c>
      <c r="CP43">
        <v>20062.927623420299</v>
      </c>
      <c r="CQ43">
        <v>26162.0523623634</v>
      </c>
      <c r="CR43">
        <v>73852.233975048206</v>
      </c>
      <c r="CS43">
        <v>46856.226221933197</v>
      </c>
      <c r="CT43">
        <v>9431.4542498241699</v>
      </c>
      <c r="CU43">
        <v>47841.6540042747</v>
      </c>
      <c r="CV43">
        <v>261795.77193012999</v>
      </c>
      <c r="CW43">
        <v>9966.2135728245903</v>
      </c>
      <c r="CX43">
        <v>22329.227021785598</v>
      </c>
      <c r="CY43">
        <v>4479.1201392174298</v>
      </c>
      <c r="CZ43">
        <v>14134.339354874101</v>
      </c>
      <c r="DA43">
        <v>23308.915474265199</v>
      </c>
      <c r="DB43">
        <v>21413.238826747001</v>
      </c>
      <c r="DC43">
        <v>625.12332074000506</v>
      </c>
      <c r="DD43">
        <v>3592.2729477569901</v>
      </c>
      <c r="DE43">
        <v>1206.3664128937301</v>
      </c>
      <c r="DF43">
        <v>37537.035672869097</v>
      </c>
      <c r="DG43">
        <v>4544.52935107343</v>
      </c>
      <c r="DI43">
        <v>656859.94475181622</v>
      </c>
      <c r="DJ43">
        <v>95998.335002291977</v>
      </c>
    </row>
    <row r="44" spans="1:114" x14ac:dyDescent="0.3">
      <c r="A44" s="8" t="s">
        <v>148</v>
      </c>
      <c r="B44">
        <v>6.7311074718486167E-3</v>
      </c>
      <c r="D44">
        <v>2.8843432477109634E-3</v>
      </c>
    </row>
    <row r="45" spans="1:114" x14ac:dyDescent="0.3">
      <c r="A45" s="8" t="s">
        <v>149</v>
      </c>
      <c r="B45">
        <v>2.8562201046523504E-4</v>
      </c>
      <c r="D45">
        <v>1.2348663850200728E-4</v>
      </c>
    </row>
    <row r="46" spans="1:114" x14ac:dyDescent="0.3">
      <c r="A46" s="8" t="s">
        <v>150</v>
      </c>
      <c r="B46">
        <v>2.9432331366566422E-4</v>
      </c>
      <c r="D46">
        <v>1.1929804681042917E-4</v>
      </c>
    </row>
    <row r="47" spans="1:114" x14ac:dyDescent="0.3">
      <c r="A47" s="8" t="s">
        <v>151</v>
      </c>
      <c r="B47">
        <v>5.3119193070819827E-5</v>
      </c>
      <c r="D47">
        <v>1.5219537027060375E-5</v>
      </c>
    </row>
    <row r="48" spans="1:114" x14ac:dyDescent="0.3">
      <c r="A48" s="8" t="s">
        <v>152</v>
      </c>
      <c r="B48">
        <v>1.7834763979056474E-4</v>
      </c>
      <c r="D48">
        <v>5.1096866603335587E-5</v>
      </c>
    </row>
    <row r="49" spans="1:8" s="6" customFormat="1" x14ac:dyDescent="0.3">
      <c r="A49" s="13"/>
      <c r="B49" s="6">
        <f>SUM(B38:B48)</f>
        <v>2.5521245685197515E-2</v>
      </c>
      <c r="D49">
        <f>SUM(D38:D48)</f>
        <v>6.7877500742396721E-3</v>
      </c>
      <c r="E49"/>
      <c r="F49"/>
      <c r="H49"/>
    </row>
    <row r="50" spans="1:8" ht="28" x14ac:dyDescent="0.3">
      <c r="A50" s="8" t="s">
        <v>153</v>
      </c>
      <c r="B50">
        <v>0.13476423180726674</v>
      </c>
      <c r="D50">
        <v>0.37785428228565726</v>
      </c>
    </row>
    <row r="51" spans="1:8" x14ac:dyDescent="0.3">
      <c r="A51" s="8" t="s">
        <v>154</v>
      </c>
      <c r="B51">
        <v>3.2541549613224502E-2</v>
      </c>
      <c r="D51">
        <v>7.8944595351027644E-2</v>
      </c>
    </row>
    <row r="52" spans="1:8" x14ac:dyDescent="0.3">
      <c r="A52" s="8" t="s">
        <v>155</v>
      </c>
      <c r="B52">
        <v>2.5009457238677785E-2</v>
      </c>
      <c r="D52">
        <v>5.8697656449963297E-2</v>
      </c>
    </row>
    <row r="53" spans="1:8" x14ac:dyDescent="0.3">
      <c r="A53" s="8" t="s">
        <v>156</v>
      </c>
      <c r="B53">
        <v>1.1498259883458081E-2</v>
      </c>
      <c r="D53">
        <v>2.6311706668928889E-2</v>
      </c>
    </row>
    <row r="54" spans="1:8" x14ac:dyDescent="0.3">
      <c r="A54" s="8" t="s">
        <v>157</v>
      </c>
      <c r="B54">
        <v>2.2485911318772641E-2</v>
      </c>
      <c r="D54">
        <v>5.0863334728543416E-2</v>
      </c>
    </row>
    <row r="55" spans="1:8" s="6" customFormat="1" x14ac:dyDescent="0.3">
      <c r="A55" s="13"/>
      <c r="B55" s="6">
        <f>SUM(B50:B54)</f>
        <v>0.22629940986139974</v>
      </c>
      <c r="D55" s="6">
        <f>SUM(D50:D54)</f>
        <v>0.59267157548412053</v>
      </c>
      <c r="E55"/>
      <c r="F55"/>
      <c r="H55"/>
    </row>
    <row r="56" spans="1:8" x14ac:dyDescent="0.3">
      <c r="A56" s="8" t="s">
        <v>158</v>
      </c>
      <c r="B56">
        <v>4.380304603056661E-2</v>
      </c>
      <c r="D56">
        <v>3.417453305574366E-2</v>
      </c>
    </row>
    <row r="57" spans="1:8" x14ac:dyDescent="0.3">
      <c r="A57" s="8" t="s">
        <v>159</v>
      </c>
      <c r="B57">
        <v>2.2112716258783824E-3</v>
      </c>
      <c r="D57">
        <v>3.1122491302255334E-2</v>
      </c>
    </row>
    <row r="58" spans="1:8" x14ac:dyDescent="0.3">
      <c r="A58" s="8" t="s">
        <v>160</v>
      </c>
      <c r="B58">
        <v>1.0991167325371937E-3</v>
      </c>
      <c r="D58">
        <v>2.8954420946103785E-4</v>
      </c>
    </row>
    <row r="59" spans="1:8" s="6" customFormat="1" x14ac:dyDescent="0.3">
      <c r="A59" s="13"/>
      <c r="B59" s="6">
        <f>SUM(B56:B58)</f>
        <v>4.7113434388982189E-2</v>
      </c>
      <c r="D59" s="6">
        <f>SUM(D56:D58)</f>
        <v>6.5586568567460035E-2</v>
      </c>
      <c r="E59"/>
      <c r="F59"/>
      <c r="H59"/>
    </row>
    <row r="60" spans="1:8" x14ac:dyDescent="0.3">
      <c r="A60" s="8" t="s">
        <v>161</v>
      </c>
      <c r="B60">
        <v>5.4733282451348198E-5</v>
      </c>
      <c r="D60">
        <v>1.8558702759364239E-5</v>
      </c>
    </row>
    <row r="61" spans="1:8" ht="28" x14ac:dyDescent="0.3">
      <c r="A61" s="8" t="s">
        <v>162</v>
      </c>
      <c r="B61">
        <v>4.8898831568499614E-4</v>
      </c>
      <c r="D61">
        <v>1.6579477227116393E-4</v>
      </c>
    </row>
    <row r="62" spans="1:8" x14ac:dyDescent="0.3">
      <c r="A62" s="8" t="s">
        <v>163</v>
      </c>
      <c r="B62">
        <v>1.2961781283975398E-5</v>
      </c>
      <c r="D62">
        <v>1.2145303447667949E-6</v>
      </c>
    </row>
    <row r="63" spans="1:8" x14ac:dyDescent="0.3">
      <c r="A63" s="8" t="s">
        <v>164</v>
      </c>
      <c r="B63">
        <v>1.8649528265113013E-4</v>
      </c>
      <c r="D63">
        <v>1.7474546057804645E-5</v>
      </c>
    </row>
    <row r="64" spans="1:8" x14ac:dyDescent="0.3">
      <c r="A64" s="8" t="s">
        <v>165</v>
      </c>
      <c r="B64">
        <v>3.0125429294226944E-4</v>
      </c>
      <c r="D64">
        <v>7.0243103726406142E-6</v>
      </c>
    </row>
    <row r="65" spans="1:4" x14ac:dyDescent="0.3">
      <c r="A65" s="8" t="s">
        <v>166</v>
      </c>
      <c r="B65">
        <v>3.1833163286196789E-4</v>
      </c>
      <c r="D65">
        <v>2.5944296966261909E-5</v>
      </c>
    </row>
    <row r="66" spans="1:4" x14ac:dyDescent="0.3">
      <c r="A66" s="8" t="s">
        <v>167</v>
      </c>
      <c r="B66">
        <v>2.7264485952241592E-4</v>
      </c>
      <c r="D66">
        <v>6.3532893910221126E-6</v>
      </c>
    </row>
    <row r="67" spans="1:4" x14ac:dyDescent="0.3">
      <c r="A67" s="8" t="s">
        <v>168</v>
      </c>
      <c r="B67">
        <v>4.1480826552654218E-4</v>
      </c>
      <c r="D67">
        <v>9.6634076646858582E-6</v>
      </c>
    </row>
    <row r="68" spans="1:4" x14ac:dyDescent="0.3">
      <c r="A68" s="8" t="s">
        <v>169</v>
      </c>
      <c r="B68">
        <v>1.8327709641810798E-5</v>
      </c>
      <c r="D68">
        <v>8.6143964542438992E-7</v>
      </c>
    </row>
    <row r="69" spans="1:4" x14ac:dyDescent="0.3">
      <c r="A69" s="8" t="s">
        <v>170</v>
      </c>
      <c r="B69">
        <v>3.1513545706172478E-5</v>
      </c>
      <c r="D69">
        <v>1.481173623277206E-6</v>
      </c>
    </row>
    <row r="70" spans="1:4" x14ac:dyDescent="0.3">
      <c r="A70" s="8" t="s">
        <v>171</v>
      </c>
      <c r="B70">
        <v>1.1887115553893782E-4</v>
      </c>
      <c r="D70">
        <v>5.5869077139568459E-6</v>
      </c>
    </row>
    <row r="71" spans="1:4" x14ac:dyDescent="0.3">
      <c r="A71" s="8" t="s">
        <v>172</v>
      </c>
      <c r="B71">
        <v>4.1959794201508496E-5</v>
      </c>
      <c r="D71">
        <v>1.4890849998080391E-6</v>
      </c>
    </row>
    <row r="72" spans="1:4" x14ac:dyDescent="0.3">
      <c r="A72" s="8" t="s">
        <v>173</v>
      </c>
      <c r="B72">
        <v>1.0590560723301295E-4</v>
      </c>
      <c r="D72">
        <v>3.7582604244083221E-6</v>
      </c>
    </row>
    <row r="73" spans="1:4" x14ac:dyDescent="0.3">
      <c r="A73" s="8" t="s">
        <v>174</v>
      </c>
      <c r="B73">
        <v>6.8485288916232686E-5</v>
      </c>
      <c r="D73">
        <v>2.4300723931334242E-6</v>
      </c>
    </row>
    <row r="74" spans="1:4" x14ac:dyDescent="0.3">
      <c r="A74" s="8" t="s">
        <v>175</v>
      </c>
      <c r="B74">
        <v>1.5690872111388847E-5</v>
      </c>
      <c r="D74">
        <v>9.2220773050558933E-7</v>
      </c>
    </row>
    <row r="75" spans="1:4" x14ac:dyDescent="0.3">
      <c r="A75" s="8"/>
      <c r="B75">
        <f>SUM(B60:B74)</f>
        <v>2.4509716862737094E-3</v>
      </c>
      <c r="D75" s="6">
        <f>SUM(D60:D74)</f>
        <v>2.6855700235822396E-4</v>
      </c>
    </row>
    <row r="76" spans="1:4" x14ac:dyDescent="0.3">
      <c r="A76" s="10" t="s">
        <v>176</v>
      </c>
      <c r="B76">
        <v>4.449648476334746E-5</v>
      </c>
      <c r="D76">
        <v>9.7020520062955539E-7</v>
      </c>
    </row>
    <row r="77" spans="1:4" x14ac:dyDescent="0.3">
      <c r="A77" s="8" t="s">
        <v>177</v>
      </c>
      <c r="B77">
        <v>1.6877278035403411E-4</v>
      </c>
      <c r="D77">
        <v>2.8147431467666937E-5</v>
      </c>
    </row>
    <row r="78" spans="1:4" x14ac:dyDescent="0.3">
      <c r="A78" s="8" t="s">
        <v>178</v>
      </c>
      <c r="B78">
        <v>9.6042131813876477E-6</v>
      </c>
      <c r="D78">
        <v>6.9942547241216136E-7</v>
      </c>
    </row>
    <row r="79" spans="1:4" x14ac:dyDescent="0.3">
      <c r="A79" s="8"/>
      <c r="B79">
        <f>SUM(B76:B78)</f>
        <v>2.2287347829876919E-4</v>
      </c>
      <c r="D79" s="6">
        <f>SUM(D76:D78)</f>
        <v>2.9817062140708655E-5</v>
      </c>
    </row>
    <row r="80" spans="1:4" x14ac:dyDescent="0.3">
      <c r="A80" s="8" t="s">
        <v>179</v>
      </c>
      <c r="B80">
        <v>0.22658664736577094</v>
      </c>
      <c r="D80">
        <v>0.2898932717439861</v>
      </c>
    </row>
    <row r="81" spans="1:8" x14ac:dyDescent="0.3">
      <c r="A81" s="8" t="s">
        <v>180</v>
      </c>
      <c r="B81">
        <v>3.9959956254961713E-4</v>
      </c>
      <c r="D81">
        <v>1.9198654348581367E-5</v>
      </c>
    </row>
    <row r="82" spans="1:8" x14ac:dyDescent="0.3">
      <c r="A82" s="8" t="s">
        <v>181</v>
      </c>
      <c r="B82">
        <v>2.7129859082778684E-5</v>
      </c>
      <c r="D82">
        <v>2.8644791411859571E-6</v>
      </c>
    </row>
    <row r="83" spans="1:8" x14ac:dyDescent="0.3">
      <c r="A83" s="8"/>
      <c r="B83">
        <f>SUM(B80:B82)</f>
        <v>0.22701337678740335</v>
      </c>
      <c r="D83">
        <f>SUM(D80:D82)</f>
        <v>0.28991533487747584</v>
      </c>
    </row>
    <row r="84" spans="1:8" s="6" customFormat="1" x14ac:dyDescent="0.3">
      <c r="A84" s="13" t="s">
        <v>12</v>
      </c>
      <c r="B84" s="6">
        <v>2.8965774911917904E-3</v>
      </c>
      <c r="D84" s="6">
        <v>3.6763993130259164E-4</v>
      </c>
      <c r="E84"/>
      <c r="F84"/>
      <c r="H84"/>
    </row>
    <row r="85" spans="1:8" x14ac:dyDescent="0.3">
      <c r="A85" s="8" t="s">
        <v>182</v>
      </c>
      <c r="B85">
        <v>6.888209347919551E-3</v>
      </c>
      <c r="D85">
        <v>2.7384291776845661E-4</v>
      </c>
    </row>
    <row r="86" spans="1:8" x14ac:dyDescent="0.3">
      <c r="A86" s="8" t="s">
        <v>183</v>
      </c>
      <c r="B86">
        <v>4.0417193932346253E-2</v>
      </c>
      <c r="D86">
        <v>1.5957302279568848E-3</v>
      </c>
    </row>
    <row r="87" spans="1:8" x14ac:dyDescent="0.3">
      <c r="A87" s="8" t="s">
        <v>184</v>
      </c>
      <c r="B87">
        <v>5.4661202167786615E-3</v>
      </c>
      <c r="D87">
        <v>2.0708800785657687E-4</v>
      </c>
    </row>
    <row r="88" spans="1:8" x14ac:dyDescent="0.3">
      <c r="A88" s="8" t="s">
        <v>185</v>
      </c>
      <c r="B88">
        <v>7.3013686915587286E-3</v>
      </c>
      <c r="D88">
        <v>2.7510572801192601E-4</v>
      </c>
    </row>
    <row r="89" spans="1:8" x14ac:dyDescent="0.3">
      <c r="A89" s="8" t="s">
        <v>186</v>
      </c>
      <c r="B89">
        <v>2.392981361415642E-3</v>
      </c>
      <c r="D89">
        <v>8.9505988410785664E-5</v>
      </c>
    </row>
    <row r="90" spans="1:8" x14ac:dyDescent="0.3">
      <c r="A90" s="11" t="s">
        <v>187</v>
      </c>
      <c r="B90">
        <v>1.156421390920271E-2</v>
      </c>
      <c r="D90">
        <v>4.3150754042325788E-4</v>
      </c>
    </row>
    <row r="91" spans="1:8" x14ac:dyDescent="0.3">
      <c r="A91" s="11" t="s">
        <v>188</v>
      </c>
      <c r="B91">
        <v>7.0890696333468619E-3</v>
      </c>
      <c r="D91">
        <v>2.6146284088874949E-4</v>
      </c>
    </row>
    <row r="92" spans="1:8" x14ac:dyDescent="0.3">
      <c r="A92" s="8" t="s">
        <v>189</v>
      </c>
      <c r="B92">
        <v>7.1408311965270007E-3</v>
      </c>
      <c r="D92">
        <v>4.9249244893649516E-4</v>
      </c>
    </row>
    <row r="93" spans="1:8" s="6" customFormat="1" x14ac:dyDescent="0.3">
      <c r="A93" s="13"/>
      <c r="B93" s="6">
        <f>SUM(B85:B92)</f>
        <v>8.8259988289095412E-2</v>
      </c>
      <c r="D93">
        <f>SUM(D85:D92)</f>
        <v>3.6267357002531322E-3</v>
      </c>
      <c r="E93"/>
      <c r="F93"/>
      <c r="H93">
        <f>B84+B93+B111+B114</f>
        <v>0.1146517446022018</v>
      </c>
    </row>
    <row r="94" spans="1:8" ht="28" x14ac:dyDescent="0.3">
      <c r="A94" s="8" t="s">
        <v>190</v>
      </c>
      <c r="B94">
        <v>5.9786565722639705E-4</v>
      </c>
      <c r="D94">
        <v>6.2769003488106774E-4</v>
      </c>
    </row>
    <row r="95" spans="1:8" x14ac:dyDescent="0.3">
      <c r="A95" s="8" t="s">
        <v>191</v>
      </c>
      <c r="B95">
        <v>4.8763858771701263E-4</v>
      </c>
      <c r="D95">
        <v>1.7688258996195543E-3</v>
      </c>
    </row>
    <row r="96" spans="1:8" x14ac:dyDescent="0.3">
      <c r="A96" s="8" t="s">
        <v>192</v>
      </c>
      <c r="B96">
        <v>1.071940457045426E-3</v>
      </c>
      <c r="D96">
        <v>1.1241926231273529E-3</v>
      </c>
    </row>
    <row r="97" spans="1:7" x14ac:dyDescent="0.3">
      <c r="A97" s="8" t="s">
        <v>193</v>
      </c>
      <c r="B97">
        <v>2.1599704237667443E-4</v>
      </c>
      <c r="D97">
        <v>2.2628308226948788E-4</v>
      </c>
    </row>
    <row r="98" spans="1:7" x14ac:dyDescent="0.3">
      <c r="A98" s="8" t="s">
        <v>194</v>
      </c>
      <c r="B98">
        <v>1.0958955018866648E-3</v>
      </c>
      <c r="D98">
        <v>1.1478353859543434E-3</v>
      </c>
      <c r="F98">
        <f>D95+D99</f>
        <v>8.0408721616803264E-3</v>
      </c>
      <c r="G98" t="e">
        <f>F98*Sheet1!#REF!</f>
        <v>#REF!</v>
      </c>
    </row>
    <row r="99" spans="1:7" x14ac:dyDescent="0.3">
      <c r="A99" s="8" t="s">
        <v>195</v>
      </c>
      <c r="B99">
        <v>2.4438331581727044E-3</v>
      </c>
      <c r="D99">
        <v>6.2720462620607723E-3</v>
      </c>
    </row>
    <row r="100" spans="1:7" x14ac:dyDescent="0.3">
      <c r="A100" s="8" t="s">
        <v>196</v>
      </c>
      <c r="B100">
        <v>2.2910364184785298E-4</v>
      </c>
      <c r="D100">
        <v>2.3911323387448927E-4</v>
      </c>
    </row>
    <row r="101" spans="1:7" x14ac:dyDescent="0.3">
      <c r="A101" s="8" t="s">
        <v>197</v>
      </c>
      <c r="B101">
        <v>5.1342262421762174E-4</v>
      </c>
      <c r="D101">
        <v>5.3573141334794464E-4</v>
      </c>
    </row>
    <row r="102" spans="1:7" ht="28" x14ac:dyDescent="0.3">
      <c r="A102" s="8" t="s">
        <v>198</v>
      </c>
      <c r="B102">
        <v>1.0304265924217819E-4</v>
      </c>
      <c r="D102">
        <v>1.0746477522025343E-4</v>
      </c>
    </row>
    <row r="103" spans="1:7" x14ac:dyDescent="0.3">
      <c r="A103" s="8" t="s">
        <v>199</v>
      </c>
      <c r="B103">
        <v>3.2519556506461334E-4</v>
      </c>
      <c r="D103">
        <v>3.3911651271843475E-4</v>
      </c>
    </row>
    <row r="104" spans="1:7" x14ac:dyDescent="0.3">
      <c r="A104" s="8" t="s">
        <v>200</v>
      </c>
      <c r="B104">
        <v>5.3645391682168432E-4</v>
      </c>
      <c r="D104">
        <v>5.5923647596276308E-4</v>
      </c>
    </row>
    <row r="105" spans="1:7" x14ac:dyDescent="0.3">
      <c r="A105" s="8" t="s">
        <v>201</v>
      </c>
      <c r="B105">
        <v>4.9308950142552615E-4</v>
      </c>
      <c r="D105">
        <v>5.1375467183963942E-4</v>
      </c>
    </row>
    <row r="106" spans="1:7" x14ac:dyDescent="0.3">
      <c r="A106" s="8" t="s">
        <v>202</v>
      </c>
      <c r="B106">
        <v>1.4402016191922322E-5</v>
      </c>
      <c r="D106">
        <v>1.499819943655277E-5</v>
      </c>
    </row>
    <row r="107" spans="1:7" ht="28" x14ac:dyDescent="0.3">
      <c r="A107" s="8" t="s">
        <v>203</v>
      </c>
      <c r="B107">
        <v>8.2762419119495191E-5</v>
      </c>
      <c r="D107">
        <v>8.6187195891546019E-5</v>
      </c>
    </row>
    <row r="108" spans="1:7" x14ac:dyDescent="0.3">
      <c r="A108" s="8" t="s">
        <v>204</v>
      </c>
      <c r="B108">
        <v>2.7795790565132866E-5</v>
      </c>
      <c r="D108">
        <v>2.8943607531263548E-5</v>
      </c>
    </row>
    <row r="109" spans="1:7" x14ac:dyDescent="0.3">
      <c r="A109" s="8" t="s">
        <v>205</v>
      </c>
      <c r="B109">
        <v>8.6491183192036138E-4</v>
      </c>
      <c r="D109">
        <v>9.0060301479752067E-4</v>
      </c>
    </row>
    <row r="110" spans="1:7" x14ac:dyDescent="0.3">
      <c r="A110" s="8" t="s">
        <v>206</v>
      </c>
      <c r="B110">
        <v>1.0480368830393679E-4</v>
      </c>
      <c r="D110">
        <v>1.0903409821918208E-4</v>
      </c>
    </row>
    <row r="111" spans="1:7" s="6" customFormat="1" x14ac:dyDescent="0.3">
      <c r="A111" s="15"/>
      <c r="B111" s="6">
        <f>SUM(B94:B110)</f>
        <v>9.2081540591452057E-3</v>
      </c>
      <c r="D111" s="6">
        <f>SUM(D94:D110)</f>
        <v>1.4601056486752167E-2</v>
      </c>
    </row>
    <row r="112" spans="1:7" x14ac:dyDescent="0.3">
      <c r="A112" s="12" t="s">
        <v>207</v>
      </c>
      <c r="B112">
        <v>5.7376510502859853E-3</v>
      </c>
      <c r="D112">
        <v>1.5741248272049032E-2</v>
      </c>
    </row>
    <row r="113" spans="1:4" x14ac:dyDescent="0.3">
      <c r="A113" s="12" t="s">
        <v>208</v>
      </c>
      <c r="B113">
        <v>8.5493737124834098E-3</v>
      </c>
      <c r="D113">
        <v>2.3183696112177988E-3</v>
      </c>
    </row>
    <row r="114" spans="1:4" s="6" customFormat="1" x14ac:dyDescent="0.3">
      <c r="B114" s="6">
        <f>SUM(B112:B113)</f>
        <v>1.4287024762769395E-2</v>
      </c>
      <c r="D114" s="6">
        <f>SUM(D112:D113)</f>
        <v>1.8059617883266831E-2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比例分配表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>Yucheng Zhu</cp:lastModifiedBy>
  <dcterms:created xsi:type="dcterms:W3CDTF">2015-06-05T18:19:34Z</dcterms:created>
  <dcterms:modified xsi:type="dcterms:W3CDTF">2024-09-02T09:13:46Z</dcterms:modified>
</cp:coreProperties>
</file>